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E:\python\accapp\"/>
    </mc:Choice>
  </mc:AlternateContent>
  <xr:revisionPtr revIDLastSave="0" documentId="13_ncr:1_{66DDBCB8-E2F3-4063-9991-504F8F34E282}" xr6:coauthVersionLast="45" xr6:coauthVersionMax="45" xr10:uidLastSave="{00000000-0000-0000-0000-000000000000}"/>
  <bookViews>
    <workbookView xWindow="-120" yWindow="-120" windowWidth="20730" windowHeight="11310" tabRatio="788" firstSheet="15" activeTab="24" xr2:uid="{763E92CD-83AF-4629-9A14-D07F0073EA98}"/>
  </bookViews>
  <sheets>
    <sheet name="Object" sheetId="3" r:id="rId1"/>
    <sheet name="Project" sheetId="4" r:id="rId2"/>
    <sheet name="DocList" sheetId="6" r:id="rId3"/>
    <sheet name="DocListRecord" sheetId="12" r:id="rId4"/>
    <sheet name="DocType" sheetId="1" r:id="rId5"/>
    <sheet name="DocTypeType" sheetId="2" r:id="rId6"/>
    <sheet name="Spec" sheetId="11" r:id="rId7"/>
    <sheet name="SpecRecord" sheetId="13" r:id="rId8"/>
    <sheet name="UnitType" sheetId="19" r:id="rId9"/>
    <sheet name="EquipList" sheetId="9" r:id="rId10"/>
    <sheet name="EquipListRecord" sheetId="14" r:id="rId11"/>
    <sheet name="Equipment" sheetId="26" r:id="rId12"/>
    <sheet name="Category" sheetId="21" r:id="rId13"/>
    <sheet name="MatList" sheetId="10" r:id="rId14"/>
    <sheet name="MatListRecord" sheetId="16" r:id="rId15"/>
    <sheet name="Material" sheetId="23" r:id="rId16"/>
    <sheet name="CableList" sheetId="8" r:id="rId17"/>
    <sheet name="CableListRecord" sheetId="17" r:id="rId18"/>
    <sheet name="Cable" sheetId="24" r:id="rId19"/>
    <sheet name="WorkList" sheetId="7" r:id="rId20"/>
    <sheet name="WorkListRecord" sheetId="18" r:id="rId21"/>
    <sheet name="Work" sheetId="25" r:id="rId22"/>
    <sheet name="_Список" sheetId="27" r:id="rId23"/>
    <sheet name="Список" sheetId="28" r:id="rId24"/>
    <sheet name="Лист1" sheetId="29" r:id="rId25"/>
    <sheet name="Лист2" sheetId="30" r:id="rId26"/>
  </sheets>
  <definedNames>
    <definedName name="_xlnm._FilterDatabase" localSheetId="22" hidden="1">_Список!$A$1:$B$24</definedName>
    <definedName name="_xlnm._FilterDatabase" localSheetId="4" hidden="1">DocType!$A$1:$Q$37</definedName>
    <definedName name="_xlnm._FilterDatabase" localSheetId="24" hidden="1">Лист1!$A$1:$AA$68</definedName>
    <definedName name="Список_листов">REPLACE(GET.WORKBOOK(1),1, 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6" i="29" l="1"/>
  <c r="M36" i="29"/>
  <c r="N33" i="29"/>
  <c r="M33" i="29"/>
  <c r="N22" i="29"/>
  <c r="M22" i="29"/>
  <c r="N21" i="29"/>
  <c r="M21" i="29"/>
  <c r="N20" i="29"/>
  <c r="M20" i="29"/>
  <c r="N19" i="29"/>
  <c r="M19" i="29"/>
  <c r="N18" i="29"/>
  <c r="M18" i="29"/>
  <c r="N17" i="29"/>
  <c r="M17" i="29"/>
  <c r="N16" i="29"/>
  <c r="M16" i="29"/>
  <c r="N2" i="29"/>
  <c r="M2" i="29"/>
  <c r="I36" i="29"/>
  <c r="H36" i="29"/>
  <c r="I33" i="29"/>
  <c r="H3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2" i="29"/>
  <c r="H2" i="29"/>
  <c r="C3" i="27" l="1"/>
  <c r="C7" i="27"/>
  <c r="C11" i="27"/>
  <c r="C15" i="27"/>
  <c r="C19" i="27"/>
  <c r="C4" i="27"/>
  <c r="C8" i="27"/>
  <c r="C12" i="27"/>
  <c r="C16" i="27"/>
  <c r="C20" i="27"/>
  <c r="C5" i="27"/>
  <c r="C9" i="27"/>
  <c r="C13" i="27"/>
  <c r="C17" i="27"/>
  <c r="C21" i="27"/>
  <c r="C6" i="27"/>
  <c r="C10" i="27"/>
  <c r="C14" i="27"/>
  <c r="C18" i="27"/>
  <c r="C22" i="27"/>
  <c r="C23" i="27"/>
  <c r="C2" i="27"/>
  <c r="E32" i="27" l="1"/>
  <c r="E31" i="27"/>
  <c r="E28" i="27"/>
  <c r="E27" i="27"/>
  <c r="E26" i="27"/>
  <c r="E30" i="27"/>
  <c r="E29" i="27"/>
  <c r="D17" i="27" l="1"/>
  <c r="E17" i="27"/>
  <c r="F17" i="27"/>
  <c r="G17" i="27"/>
  <c r="H17" i="27"/>
  <c r="D16" i="27"/>
  <c r="E16" i="27"/>
  <c r="F16" i="27"/>
  <c r="G16" i="27"/>
  <c r="H16" i="27"/>
  <c r="D15" i="27"/>
  <c r="E15" i="27"/>
  <c r="F15" i="27"/>
  <c r="G15" i="27"/>
  <c r="M2" i="27"/>
  <c r="M24" i="27" s="1"/>
  <c r="M3" i="27"/>
  <c r="M4" i="27"/>
  <c r="M5" i="27"/>
  <c r="M6" i="27"/>
  <c r="M7" i="27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F22" i="27"/>
  <c r="G22" i="27"/>
  <c r="H22" i="27"/>
  <c r="I22" i="27"/>
  <c r="J22" i="27"/>
  <c r="E23" i="27"/>
  <c r="F23" i="27"/>
  <c r="G23" i="27"/>
  <c r="G12" i="27" l="1"/>
  <c r="H12" i="27"/>
  <c r="C3" i="21"/>
  <c r="C4" i="21"/>
  <c r="C5" i="21"/>
  <c r="C6" i="21"/>
  <c r="C2" i="21"/>
  <c r="D23" i="27"/>
  <c r="D22" i="27"/>
  <c r="E22" i="27"/>
  <c r="D21" i="27"/>
  <c r="E21" i="27"/>
  <c r="F21" i="27"/>
  <c r="G21" i="27"/>
  <c r="D20" i="27"/>
  <c r="E20" i="27"/>
  <c r="F20" i="27"/>
  <c r="G20" i="27"/>
  <c r="D19" i="27"/>
  <c r="E19" i="27"/>
  <c r="F19" i="27"/>
  <c r="G19" i="27"/>
  <c r="H19" i="27"/>
  <c r="D18" i="27"/>
  <c r="E18" i="27"/>
  <c r="F18" i="27"/>
  <c r="G18" i="27"/>
  <c r="E3" i="27"/>
  <c r="E4" i="27"/>
  <c r="E5" i="27"/>
  <c r="E6" i="27"/>
  <c r="E7" i="27"/>
  <c r="E8" i="27"/>
  <c r="E9" i="27"/>
  <c r="E10" i="27"/>
  <c r="E11" i="27"/>
  <c r="E12" i="27"/>
  <c r="E13" i="27"/>
  <c r="E14" i="27"/>
  <c r="F3" i="27"/>
  <c r="G3" i="27"/>
  <c r="H3" i="27"/>
  <c r="I3" i="27"/>
  <c r="J3" i="27"/>
  <c r="K3" i="27"/>
  <c r="L3" i="27"/>
  <c r="E2" i="27"/>
  <c r="F4" i="27"/>
  <c r="G4" i="27"/>
  <c r="F5" i="27"/>
  <c r="G5" i="27"/>
  <c r="H5" i="27"/>
  <c r="I5" i="27"/>
  <c r="J5" i="27"/>
  <c r="K5" i="27"/>
  <c r="F6" i="27"/>
  <c r="G6" i="27"/>
  <c r="F8" i="27"/>
  <c r="G8" i="27"/>
  <c r="F9" i="27"/>
  <c r="G9" i="27"/>
  <c r="H9" i="27"/>
  <c r="I9" i="27"/>
  <c r="J9" i="27"/>
  <c r="F11" i="27"/>
  <c r="G11" i="27"/>
  <c r="F12" i="27"/>
  <c r="F13" i="27"/>
  <c r="G13" i="27"/>
  <c r="D2" i="27"/>
  <c r="D14" i="27"/>
  <c r="D13" i="27"/>
  <c r="D12" i="27"/>
  <c r="D11" i="27"/>
  <c r="D10" i="27"/>
  <c r="D9" i="27"/>
  <c r="D8" i="27"/>
  <c r="D7" i="27"/>
  <c r="D6" i="27"/>
  <c r="D5" i="27"/>
  <c r="D4" i="27"/>
  <c r="D3" i="27"/>
  <c r="L2" i="27"/>
  <c r="K2" i="27"/>
  <c r="J2" i="27"/>
  <c r="I2" i="27"/>
  <c r="H2" i="27"/>
  <c r="G2" i="27"/>
  <c r="F2" i="27"/>
  <c r="O36" i="1"/>
  <c r="P36" i="1" s="1"/>
  <c r="N36" i="1"/>
  <c r="L36" i="1"/>
  <c r="O35" i="1"/>
  <c r="P35" i="1" s="1"/>
  <c r="N35" i="1"/>
  <c r="L35" i="1"/>
  <c r="O34" i="1"/>
  <c r="P34" i="1" s="1"/>
  <c r="N34" i="1"/>
  <c r="L34" i="1"/>
  <c r="O33" i="1"/>
  <c r="P33" i="1" s="1"/>
  <c r="N33" i="1"/>
  <c r="L33" i="1"/>
  <c r="O32" i="1"/>
  <c r="P32" i="1" s="1"/>
  <c r="N32" i="1"/>
  <c r="L32" i="1"/>
  <c r="O31" i="1"/>
  <c r="P31" i="1" s="1"/>
  <c r="N31" i="1"/>
  <c r="L31" i="1"/>
  <c r="O30" i="1"/>
  <c r="P30" i="1" s="1"/>
  <c r="N30" i="1"/>
  <c r="L30" i="1"/>
  <c r="O29" i="1"/>
  <c r="P29" i="1" s="1"/>
  <c r="N29" i="1"/>
  <c r="L29" i="1"/>
  <c r="O28" i="1"/>
  <c r="P28" i="1" s="1"/>
  <c r="N28" i="1"/>
  <c r="L28" i="1"/>
  <c r="O27" i="1"/>
  <c r="P27" i="1" s="1"/>
  <c r="N27" i="1"/>
  <c r="L27" i="1"/>
  <c r="O26" i="1"/>
  <c r="P26" i="1" s="1"/>
  <c r="N26" i="1"/>
  <c r="L26" i="1"/>
  <c r="O25" i="1"/>
  <c r="P25" i="1" s="1"/>
  <c r="N25" i="1"/>
  <c r="L25" i="1"/>
  <c r="O24" i="1"/>
  <c r="P24" i="1" s="1"/>
  <c r="N24" i="1"/>
  <c r="L24" i="1"/>
  <c r="O23" i="1"/>
  <c r="P23" i="1" s="1"/>
  <c r="N23" i="1"/>
  <c r="L23" i="1"/>
  <c r="O22" i="1"/>
  <c r="P22" i="1" s="1"/>
  <c r="N22" i="1"/>
  <c r="L22" i="1"/>
  <c r="O21" i="1"/>
  <c r="P21" i="1" s="1"/>
  <c r="N21" i="1"/>
  <c r="L21" i="1"/>
  <c r="O20" i="1"/>
  <c r="P20" i="1" s="1"/>
  <c r="N20" i="1"/>
  <c r="L20" i="1"/>
  <c r="O19" i="1"/>
  <c r="P19" i="1" s="1"/>
  <c r="N19" i="1"/>
  <c r="L19" i="1"/>
  <c r="O18" i="1"/>
  <c r="P18" i="1" s="1"/>
  <c r="N18" i="1"/>
  <c r="L18" i="1"/>
  <c r="O17" i="1"/>
  <c r="P17" i="1" s="1"/>
  <c r="N17" i="1"/>
  <c r="L17" i="1"/>
  <c r="O16" i="1"/>
  <c r="P16" i="1" s="1"/>
  <c r="N16" i="1"/>
  <c r="L16" i="1"/>
  <c r="O15" i="1"/>
  <c r="P15" i="1" s="1"/>
  <c r="N15" i="1"/>
  <c r="L15" i="1"/>
  <c r="O14" i="1"/>
  <c r="P14" i="1" s="1"/>
  <c r="N14" i="1"/>
  <c r="L14" i="1"/>
  <c r="O13" i="1"/>
  <c r="P13" i="1" s="1"/>
  <c r="N13" i="1"/>
  <c r="L13" i="1"/>
  <c r="O12" i="1"/>
  <c r="P12" i="1" s="1"/>
  <c r="N12" i="1"/>
  <c r="L12" i="1"/>
  <c r="O11" i="1"/>
  <c r="P11" i="1" s="1"/>
  <c r="N11" i="1"/>
  <c r="L11" i="1"/>
  <c r="O10" i="1"/>
  <c r="P10" i="1" s="1"/>
  <c r="N10" i="1"/>
  <c r="L10" i="1"/>
  <c r="O9" i="1"/>
  <c r="P9" i="1" s="1"/>
  <c r="N9" i="1"/>
  <c r="L9" i="1"/>
  <c r="O8" i="1"/>
  <c r="P8" i="1" s="1"/>
  <c r="N8" i="1"/>
  <c r="L8" i="1"/>
  <c r="O7" i="1"/>
  <c r="P7" i="1" s="1"/>
  <c r="N7" i="1"/>
  <c r="L7" i="1"/>
  <c r="O6" i="1"/>
  <c r="P6" i="1" s="1"/>
  <c r="N6" i="1"/>
  <c r="L6" i="1"/>
  <c r="O5" i="1"/>
  <c r="P5" i="1" s="1"/>
  <c r="N5" i="1"/>
  <c r="L5" i="1"/>
  <c r="O4" i="1"/>
  <c r="P4" i="1" s="1"/>
  <c r="N4" i="1"/>
  <c r="L4" i="1"/>
  <c r="O3" i="1"/>
  <c r="P3" i="1" s="1"/>
  <c r="N3" i="1"/>
  <c r="L3" i="1"/>
  <c r="O2" i="1"/>
  <c r="P2" i="1" s="1"/>
  <c r="N2" i="1"/>
  <c r="L2" i="1"/>
  <c r="O37" i="1"/>
  <c r="P37" i="1" s="1"/>
  <c r="N37" i="1"/>
  <c r="L37" i="1"/>
  <c r="E4" i="2"/>
  <c r="E3" i="2"/>
  <c r="E2" i="2"/>
</calcChain>
</file>

<file path=xl/sharedStrings.xml><?xml version="1.0" encoding="utf-8"?>
<sst xmlns="http://schemas.openxmlformats.org/spreadsheetml/2006/main" count="1140" uniqueCount="526">
  <si>
    <t>permissive</t>
  </si>
  <si>
    <t>project</t>
  </si>
  <si>
    <t>category</t>
  </si>
  <si>
    <t>Разрешительная документация</t>
  </si>
  <si>
    <t>typetype</t>
  </si>
  <si>
    <t>Проектная документация</t>
  </si>
  <si>
    <t>Раздел проекта</t>
  </si>
  <si>
    <t>Ведомость документов</t>
  </si>
  <si>
    <t>Спецификация</t>
  </si>
  <si>
    <t>Кабельный журнал</t>
  </si>
  <si>
    <t>Ведомость оборудования</t>
  </si>
  <si>
    <t>Ведомость материалов</t>
  </si>
  <si>
    <t>Ведомость работ</t>
  </si>
  <si>
    <t>section</t>
  </si>
  <si>
    <t>doclist</t>
  </si>
  <si>
    <t>cablejournal</t>
  </si>
  <si>
    <t>equipmentlist</t>
  </si>
  <si>
    <t>materiallist</t>
  </si>
  <si>
    <t>worklist</t>
  </si>
  <si>
    <t>asbuilt</t>
  </si>
  <si>
    <t>acts</t>
  </si>
  <si>
    <t>quality</t>
  </si>
  <si>
    <t>hidden</t>
  </si>
  <si>
    <t>electric</t>
  </si>
  <si>
    <t>act</t>
  </si>
  <si>
    <t>materials</t>
  </si>
  <si>
    <t>document</t>
  </si>
  <si>
    <t>Акты</t>
  </si>
  <si>
    <t>Акт входного контроля</t>
  </si>
  <si>
    <t>Входной контроль</t>
  </si>
  <si>
    <t>Исполнительная документация</t>
  </si>
  <si>
    <t>Скрытые работы</t>
  </si>
  <si>
    <t>Акт освидетельствования скрытых работ</t>
  </si>
  <si>
    <t>Ведомость документов качества</t>
  </si>
  <si>
    <t>Исполнительная схема</t>
  </si>
  <si>
    <t>qualitydocs</t>
  </si>
  <si>
    <t>schemas</t>
  </si>
  <si>
    <t>Электромонтажные работы</t>
  </si>
  <si>
    <t>Акт готовности электромонтажных работ</t>
  </si>
  <si>
    <t>equipment</t>
  </si>
  <si>
    <t>annexes</t>
  </si>
  <si>
    <t>DocType</t>
  </si>
  <si>
    <t>Поступление материалов</t>
  </si>
  <si>
    <t>Приходные документы</t>
  </si>
  <si>
    <t>Накладная</t>
  </si>
  <si>
    <t>Счет-фактура</t>
  </si>
  <si>
    <t>Счет</t>
  </si>
  <si>
    <t>Документы качества</t>
  </si>
  <si>
    <t>Сертификат соответствия</t>
  </si>
  <si>
    <t>Паспорт качества</t>
  </si>
  <si>
    <t>Пожарный сертификат</t>
  </si>
  <si>
    <t>Сертификат СЭЗ</t>
  </si>
  <si>
    <t>Технический паспорт</t>
  </si>
  <si>
    <t>receipt</t>
  </si>
  <si>
    <t>docs</t>
  </si>
  <si>
    <t>Категория</t>
  </si>
  <si>
    <t>Документ</t>
  </si>
  <si>
    <t>Приложение</t>
  </si>
  <si>
    <t>DocTypeType</t>
  </si>
  <si>
    <t>C2</t>
  </si>
  <si>
    <t>id</t>
  </si>
  <si>
    <t>object_number</t>
  </si>
  <si>
    <t>object_name</t>
  </si>
  <si>
    <t>project_number</t>
  </si>
  <si>
    <t>project_name</t>
  </si>
  <si>
    <t>1600-SOT</t>
  </si>
  <si>
    <t>1600-POS</t>
  </si>
  <si>
    <t>1600-SKUD</t>
  </si>
  <si>
    <t>1600-SOS</t>
  </si>
  <si>
    <t>1600-SOO</t>
  </si>
  <si>
    <t>1600 Видеонаблюдение</t>
  </si>
  <si>
    <t>1600 Периметральная сигнализация</t>
  </si>
  <si>
    <t>1600 Система управления и контроля доступом</t>
  </si>
  <si>
    <t>1600 Система периметрального освещения</t>
  </si>
  <si>
    <t>1600-SPP</t>
  </si>
  <si>
    <t>1600 Система радиофикации и громкой связи</t>
  </si>
  <si>
    <t>1600 Система охранной сигналицации</t>
  </si>
  <si>
    <t>6203-SOT</t>
  </si>
  <si>
    <t>6203-POS</t>
  </si>
  <si>
    <t>6203-SKUD</t>
  </si>
  <si>
    <t>6203 Видеонаблюдение</t>
  </si>
  <si>
    <t>6203 Периметральная сигнализация</t>
  </si>
  <si>
    <t>6203 Система управления и контроля доступом</t>
  </si>
  <si>
    <t>AGCC-1600</t>
  </si>
  <si>
    <t>AGCC-6203</t>
  </si>
  <si>
    <t>АГКХ 1600</t>
  </si>
  <si>
    <t>АГКХ 6203</t>
  </si>
  <si>
    <t>1,2,3,4,5,6</t>
  </si>
  <si>
    <t>7,8,9</t>
  </si>
  <si>
    <t>object_address</t>
  </si>
  <si>
    <t>РФ, ДВО</t>
  </si>
  <si>
    <t>doclist_number</t>
  </si>
  <si>
    <t>doclist_name</t>
  </si>
  <si>
    <t>doc_number</t>
  </si>
  <si>
    <t>doc_name</t>
  </si>
  <si>
    <t>sheets_count</t>
  </si>
  <si>
    <t>1600-SOT.MTO</t>
  </si>
  <si>
    <t>1600-SOT.CJ</t>
  </si>
  <si>
    <t>1600-POS.MTO</t>
  </si>
  <si>
    <t>1600-POS.CJ</t>
  </si>
  <si>
    <t>1600-SKUD.MTO</t>
  </si>
  <si>
    <t>1600-SKUD.CJ</t>
  </si>
  <si>
    <t>1600-SOS.MTO</t>
  </si>
  <si>
    <t>1600-SOS.CJ</t>
  </si>
  <si>
    <t>1600-SOO.MTO</t>
  </si>
  <si>
    <t>1600-SOO.CJ</t>
  </si>
  <si>
    <t>1600-SPP.MTO</t>
  </si>
  <si>
    <t>1600-SPP.CJ</t>
  </si>
  <si>
    <t>6203-SOT.MTO</t>
  </si>
  <si>
    <t>6203-SOT.CJ</t>
  </si>
  <si>
    <t>6203-POS.MTO</t>
  </si>
  <si>
    <t>6203-POS.CJ</t>
  </si>
  <si>
    <t>6203-SKUD.MTO</t>
  </si>
  <si>
    <t>6203-SKUD.CJ</t>
  </si>
  <si>
    <t>1600-SOT.MTO  Спецификация</t>
  </si>
  <si>
    <t>1600-SOT.CJ  Кабельный журнал</t>
  </si>
  <si>
    <t>1600-POS.MTO  Спецификация</t>
  </si>
  <si>
    <t>1600-POS.CJ  Кабельный журнал</t>
  </si>
  <si>
    <t>1600-SKUD.MTO  Спецификация</t>
  </si>
  <si>
    <t>1600-SKUD.CJ  Кабельный журнал</t>
  </si>
  <si>
    <t>1600-SOS.MTO  Спецификация</t>
  </si>
  <si>
    <t>1600-SOS.CJ  Кабельный журнал</t>
  </si>
  <si>
    <t>1600-SOO.MTO  Спецификация</t>
  </si>
  <si>
    <t>1600-SOO.CJ  Кабельный журнал</t>
  </si>
  <si>
    <t>1600-SPP.MTO  Спецификация</t>
  </si>
  <si>
    <t>1600-SPP.CJ  Кабельный журнал</t>
  </si>
  <si>
    <t>6203-SOT.MTO  Спецификация</t>
  </si>
  <si>
    <t>6203-SOT.CJ  Кабельный журнал</t>
  </si>
  <si>
    <t>6203-POS.MTO  Спецификация</t>
  </si>
  <si>
    <t>6203-POS.CJ  Кабельный журнал</t>
  </si>
  <si>
    <t>6203-SKUD.MTO  Спецификация</t>
  </si>
  <si>
    <t>6203-SKUD.CJ  Кабельный журнал</t>
  </si>
  <si>
    <t>doc_revision</t>
  </si>
  <si>
    <t>DocType_instance</t>
  </si>
  <si>
    <t>A</t>
  </si>
  <si>
    <t>12.12.2023</t>
  </si>
  <si>
    <t>date_last_revison</t>
  </si>
  <si>
    <t>B</t>
  </si>
  <si>
    <t>06.06.2023</t>
  </si>
  <si>
    <t>03.03.2023</t>
  </si>
  <si>
    <t>record_number</t>
  </si>
  <si>
    <t>__formula</t>
  </si>
  <si>
    <t>__class_name</t>
  </si>
  <si>
    <t>__l1_number</t>
  </si>
  <si>
    <t>__l1_name</t>
  </si>
  <si>
    <t>__l2_name</t>
  </si>
  <si>
    <t>__l2_number</t>
  </si>
  <si>
    <t>__l3_number</t>
  </si>
  <si>
    <t>__l3_name</t>
  </si>
  <si>
    <t>__l4_number</t>
  </si>
  <si>
    <t>__l4_name</t>
  </si>
  <si>
    <t>__key</t>
  </si>
  <si>
    <t>__dt</t>
  </si>
  <si>
    <t>__dtt</t>
  </si>
  <si>
    <t>__type1</t>
  </si>
  <si>
    <t>Спецификация. 1600 Видеонаблюдение</t>
  </si>
  <si>
    <t>Спецификация. 1600 Периметральная сигнализация</t>
  </si>
  <si>
    <t>Спецификация. 1600 Система управления и контроля доступом</t>
  </si>
  <si>
    <t>Спецификация. 1600 Система охранной сигналицации</t>
  </si>
  <si>
    <t>Спецификация. 1600 Система периметрального освещения</t>
  </si>
  <si>
    <t>Спецификация. 1600 Система радиофикации и громкой связи</t>
  </si>
  <si>
    <t>Спецификация. 6203 Видеонаблюдение</t>
  </si>
  <si>
    <t>Спецификация. 6203 Периметральная сигнализация</t>
  </si>
  <si>
    <t>Спецификация. 6203 Система управления и контроля доступом</t>
  </si>
  <si>
    <t>DocTypeType_instance</t>
  </si>
  <si>
    <t>__DocTypeType_instance</t>
  </si>
  <si>
    <t>SpecRecord_instance</t>
  </si>
  <si>
    <t>spec</t>
  </si>
  <si>
    <t>1,2</t>
  </si>
  <si>
    <t>3,4</t>
  </si>
  <si>
    <t>5,6</t>
  </si>
  <si>
    <t>7,8</t>
  </si>
  <si>
    <t>9,10</t>
  </si>
  <si>
    <t>11,12</t>
  </si>
  <si>
    <t>13,14</t>
  </si>
  <si>
    <t>15,16</t>
  </si>
  <si>
    <t>17,18</t>
  </si>
  <si>
    <t>DocListRecord_instance</t>
  </si>
  <si>
    <t>Project_instance</t>
  </si>
  <si>
    <t>doctype_name</t>
  </si>
  <si>
    <t>doctype_number</t>
  </si>
  <si>
    <t>CableList_instance</t>
  </si>
  <si>
    <t>MatList_instance</t>
  </si>
  <si>
    <t>EquipList_instance</t>
  </si>
  <si>
    <t>WorkList_instance</t>
  </si>
  <si>
    <t>DocList_instance</t>
  </si>
  <si>
    <t>Spec_instance</t>
  </si>
  <si>
    <t>value</t>
  </si>
  <si>
    <t>шт</t>
  </si>
  <si>
    <t>м</t>
  </si>
  <si>
    <t>компл</t>
  </si>
  <si>
    <t>UnitType_instance</t>
  </si>
  <si>
    <t>unittype_name</t>
  </si>
  <si>
    <t>Material_instance</t>
  </si>
  <si>
    <t>Cable_instance</t>
  </si>
  <si>
    <t>Equipment_instance</t>
  </si>
  <si>
    <t>1,2,3</t>
  </si>
  <si>
    <t>4,5,6</t>
  </si>
  <si>
    <t>10,11,12</t>
  </si>
  <si>
    <t>13,14,15</t>
  </si>
  <si>
    <t>16,17,18</t>
  </si>
  <si>
    <t>19,20,21</t>
  </si>
  <si>
    <t>22,23,24</t>
  </si>
  <si>
    <t>25,26,27</t>
  </si>
  <si>
    <t>equipment_number</t>
  </si>
  <si>
    <t>equipment_name</t>
  </si>
  <si>
    <t>Category_instance</t>
  </si>
  <si>
    <t>Список</t>
  </si>
  <si>
    <t>__###</t>
  </si>
  <si>
    <t>Object</t>
  </si>
  <si>
    <t>Project</t>
  </si>
  <si>
    <t>DocList</t>
  </si>
  <si>
    <t>DocListRecord</t>
  </si>
  <si>
    <t>Spec</t>
  </si>
  <si>
    <t>SpecRecord</t>
  </si>
  <si>
    <t>UnitType</t>
  </si>
  <si>
    <t>EquipList</t>
  </si>
  <si>
    <t>EquipListRecord</t>
  </si>
  <si>
    <t>Equipment</t>
  </si>
  <si>
    <t>Category</t>
  </si>
  <si>
    <t>MatList</t>
  </si>
  <si>
    <t>Material</t>
  </si>
  <si>
    <t>MatListRecord</t>
  </si>
  <si>
    <t>CableList</t>
  </si>
  <si>
    <t>CableListRecord</t>
  </si>
  <si>
    <t>Cable</t>
  </si>
  <si>
    <t>WorkList</t>
  </si>
  <si>
    <t>WorkListRecord</t>
  </si>
  <si>
    <t>Work</t>
  </si>
  <si>
    <t>EquipListRecord_instance</t>
  </si>
  <si>
    <t>1600-SOT.BOE</t>
  </si>
  <si>
    <t>1600-POS.BOE</t>
  </si>
  <si>
    <t>1600-SKUD.BOE</t>
  </si>
  <si>
    <t>1600-SOS.BOE</t>
  </si>
  <si>
    <t>1600-SOO.BOE</t>
  </si>
  <si>
    <t>1600-SPP.BOE</t>
  </si>
  <si>
    <t>6203-SOT.BOE</t>
  </si>
  <si>
    <t>6203-POS.BOE</t>
  </si>
  <si>
    <t>6203-SKUD.BOE</t>
  </si>
  <si>
    <t>Ведомость оборудования. 1600 Видеонаблюдение</t>
  </si>
  <si>
    <t>Ведомость оборудования. 1600 Периметральная сигнализация</t>
  </si>
  <si>
    <t>Ведомость оборудования. 1600 Система управления и контроля доступом</t>
  </si>
  <si>
    <t>Ведомость оборудования. 1600 Система охранной сигналицации</t>
  </si>
  <si>
    <t>Ведомость оборудования. 1600 Система периметрального освещения</t>
  </si>
  <si>
    <t>Ведомость оборудования. 1600 Система радиофикации и громкой связи</t>
  </si>
  <si>
    <t>Ведомость оборудования. 6203 Видеонаблюдение</t>
  </si>
  <si>
    <t>Ведомость оборудования. 6203 Периметральная сигнализация</t>
  </si>
  <si>
    <t>Ведомость оборудования. 6203 Система управления и контроля доступом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</si>
  <si>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</si>
  <si>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</si>
  <si>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</si>
  <si>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</si>
  <si>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</si>
  <si>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</si>
  <si>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</si>
  <si>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</si>
  <si>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</si>
  <si>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Equipment 1</t>
  </si>
  <si>
    <t>Equipment 2</t>
  </si>
  <si>
    <t>Equipment 3</t>
  </si>
  <si>
    <t>Equipment 4</t>
  </si>
  <si>
    <t>Equipment 5</t>
  </si>
  <si>
    <t>Equipment 6</t>
  </si>
  <si>
    <t>Equipment 7</t>
  </si>
  <si>
    <t>Equipment 8</t>
  </si>
  <si>
    <t>Equipment 9</t>
  </si>
  <si>
    <t>category_name</t>
  </si>
  <si>
    <t>category_number</t>
  </si>
  <si>
    <t>1.1.1</t>
  </si>
  <si>
    <t>="Category"&amp;" "&amp;B2</t>
  </si>
  <si>
    <t>1600-SOT.BOM</t>
  </si>
  <si>
    <t>1600-POS.BOM</t>
  </si>
  <si>
    <t>1600-SKUD.BOM</t>
  </si>
  <si>
    <t>1600-SOS.BOM</t>
  </si>
  <si>
    <t>1600-SOO.BOM</t>
  </si>
  <si>
    <t>1600-SPP.BOM</t>
  </si>
  <si>
    <t>6203-SOT.BOM</t>
  </si>
  <si>
    <t>6203-POS.BOM</t>
  </si>
  <si>
    <t>6203-SKUD.BOM</t>
  </si>
  <si>
    <t>Ведомость материалов. 1600 Видеонаблюдение</t>
  </si>
  <si>
    <t>Ведомость материалов. 1600 Периметральная сигнализация</t>
  </si>
  <si>
    <t>Ведомость материалов. 1600 Система управления и контроля доступом</t>
  </si>
  <si>
    <t>Ведомость материалов. 1600 Система охранной сигналицации</t>
  </si>
  <si>
    <t>Ведомость материалов. 1600 Система периметрального освещения</t>
  </si>
  <si>
    <t>Ведомость материалов. 1600 Система радиофикации и громкой связи</t>
  </si>
  <si>
    <t>Ведомость материалов. 6203 Видеонаблюдение</t>
  </si>
  <si>
    <t>Ведомость материалов. 6203 Периметральная сигнализация</t>
  </si>
  <si>
    <t>Ведомость материалов. 6203 Система управления и контроля доступом</t>
  </si>
  <si>
    <t>MatListRecord_instance</t>
  </si>
  <si>
    <t>Кабельный журнал. 1600 Видеонаблюдение</t>
  </si>
  <si>
    <t>Кабельный журнал. 1600 Периметральная сигнализация</t>
  </si>
  <si>
    <t>Кабельный журнал. 1600 Система управления и контроля доступом</t>
  </si>
  <si>
    <t>Кабельный журнал. 1600 Система охранной сигналицации</t>
  </si>
  <si>
    <t>Кабельный журнал. 1600 Система периметрального освещения</t>
  </si>
  <si>
    <t>Кабельный журнал. 1600 Система радиофикации и громкой связи</t>
  </si>
  <si>
    <t>Кабельный журнал. 6203 Видеонаблюдение</t>
  </si>
  <si>
    <t>Кабельный журнал. 6203 Периметральная сигнализация</t>
  </si>
  <si>
    <t>Кабельный журнал. 6203 Система управления и контроля доступом</t>
  </si>
  <si>
    <t>CableListRecord_instance</t>
  </si>
  <si>
    <t>material_number</t>
  </si>
  <si>
    <t>material_name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</si>
  <si>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</si>
  <si>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</si>
  <si>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</si>
  <si>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</si>
  <si>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</si>
  <si>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</si>
  <si>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</si>
  <si>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</si>
  <si>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</si>
  <si>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Material 1</t>
  </si>
  <si>
    <t>Material 2</t>
  </si>
  <si>
    <t>Material 3</t>
  </si>
  <si>
    <t>Material 4</t>
  </si>
  <si>
    <t>Material 5</t>
  </si>
  <si>
    <t>Material 6</t>
  </si>
  <si>
    <t>Material 7</t>
  </si>
  <si>
    <t>Material 8</t>
  </si>
  <si>
    <t>Material 9</t>
  </si>
  <si>
    <t>C1</t>
  </si>
  <si>
    <t>C3</t>
  </si>
  <si>
    <t>C4</t>
  </si>
  <si>
    <t>C5</t>
  </si>
  <si>
    <t>C6</t>
  </si>
  <si>
    <t>C7</t>
  </si>
  <si>
    <t>C8</t>
  </si>
  <si>
    <t>C9</t>
  </si>
  <si>
    <t>Cable 1</t>
  </si>
  <si>
    <t>Cable 2</t>
  </si>
  <si>
    <t>Cable 3</t>
  </si>
  <si>
    <t>Cable 4</t>
  </si>
  <si>
    <t>Cable 5</t>
  </si>
  <si>
    <t>Cable 6</t>
  </si>
  <si>
    <t>Cable 7</t>
  </si>
  <si>
    <t>Cable 8</t>
  </si>
  <si>
    <t>Cable 9</t>
  </si>
  <si>
    <t>cable_name</t>
  </si>
  <si>
    <t>cable_number</t>
  </si>
  <si>
    <t>1600-SOT.BOQ</t>
  </si>
  <si>
    <t>1600-POS.BOQ</t>
  </si>
  <si>
    <t>1600-SKUD.BOQ</t>
  </si>
  <si>
    <t>1600-SOS.BOQ</t>
  </si>
  <si>
    <t>1600-SOO.BOQ</t>
  </si>
  <si>
    <t>1600-SPP.BOQ</t>
  </si>
  <si>
    <t>6203-SOT.BOQ</t>
  </si>
  <si>
    <t>6203-POS.BOQ</t>
  </si>
  <si>
    <t>6203-SKUD.BOQ</t>
  </si>
  <si>
    <t>WorkListRecord_instance</t>
  </si>
  <si>
    <t>Ведомость работ. 1600 Видеонаблюдение</t>
  </si>
  <si>
    <t>Ведомость работ. 1600 Периметральная сигнализация</t>
  </si>
  <si>
    <t>Ведомость работ. 1600 Система управления и контроля доступом</t>
  </si>
  <si>
    <t>Ведомость работ. 1600 Система охранной сигналицации</t>
  </si>
  <si>
    <t>Ведомость работ. 1600 Система периметрального освещения</t>
  </si>
  <si>
    <t>Ведомость работ. 1600 Система радиофикации и громкой связи</t>
  </si>
  <si>
    <t>Ведомость работ. 6203 Видеонаблюдение</t>
  </si>
  <si>
    <t>Ведомость работ. 6203 Периметральная сигнализация</t>
  </si>
  <si>
    <t>Ведомость работ. 6203 Система управления и контроля доступом</t>
  </si>
  <si>
    <t>flowrate</t>
  </si>
  <si>
    <t>Work_instance</t>
  </si>
  <si>
    <t>Work 1</t>
  </si>
  <si>
    <t>Work 2</t>
  </si>
  <si>
    <t>Work 3</t>
  </si>
  <si>
    <t>Work 4</t>
  </si>
  <si>
    <t>Work 5</t>
  </si>
  <si>
    <t>Work 6</t>
  </si>
  <si>
    <t>Work 7</t>
  </si>
  <si>
    <t>Work 8</t>
  </si>
  <si>
    <t>Work 9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</si>
  <si>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</si>
  <si>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</si>
  <si>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</si>
  <si>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</si>
  <si>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</si>
  <si>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</si>
  <si>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</si>
  <si>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</si>
  <si>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</si>
  <si>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work_number</t>
  </si>
  <si>
    <t>work_name</t>
  </si>
  <si>
    <t>DocType_instance_</t>
  </si>
  <si>
    <t>Annexes_</t>
  </si>
  <si>
    <t>Act_</t>
  </si>
  <si>
    <t>QualityAct_</t>
  </si>
  <si>
    <t>HiddenAct_</t>
  </si>
  <si>
    <t>ElectricAct_</t>
  </si>
  <si>
    <t>act_number_</t>
  </si>
  <si>
    <t>act_name_</t>
  </si>
  <si>
    <t>annex_number_</t>
  </si>
  <si>
    <t>annex_name_</t>
  </si>
  <si>
    <t>QualityDoc_</t>
  </si>
  <si>
    <t>Doc</t>
  </si>
  <si>
    <t>показать</t>
  </si>
  <si>
    <t>лист</t>
  </si>
  <si>
    <t>_Список</t>
  </si>
  <si>
    <t>Lists</t>
  </si>
  <si>
    <t>Records</t>
  </si>
  <si>
    <t>Nomenclature</t>
  </si>
  <si>
    <t>All</t>
  </si>
  <si>
    <t>doc_date</t>
  </si>
  <si>
    <t>doc_description</t>
  </si>
  <si>
    <t>Instance</t>
  </si>
  <si>
    <t>Record</t>
  </si>
  <si>
    <t>value1</t>
  </si>
  <si>
    <t>value2</t>
  </si>
  <si>
    <t>value3</t>
  </si>
  <si>
    <t>place_from</t>
  </si>
  <si>
    <t>place_to</t>
  </si>
  <si>
    <t>Subject_</t>
  </si>
  <si>
    <t>№ п/п</t>
  </si>
  <si>
    <t>Титул</t>
  </si>
  <si>
    <t>Марка</t>
  </si>
  <si>
    <t>Ревизия</t>
  </si>
  <si>
    <t>Наименование объекта / системы</t>
  </si>
  <si>
    <t>Группа МТР</t>
  </si>
  <si>
    <t>Позиция</t>
  </si>
  <si>
    <t>Наименование и техническая характеристика</t>
  </si>
  <si>
    <t>Код продукции</t>
  </si>
  <si>
    <t>Поставщик</t>
  </si>
  <si>
    <t>Ед.
измерения</t>
  </si>
  <si>
    <t>Масса 1 ед., кг</t>
  </si>
  <si>
    <t>Примечания</t>
  </si>
  <si>
    <t>BOM</t>
  </si>
  <si>
    <t>Номер тех. спецификации</t>
  </si>
  <si>
    <t>Тип МТР (оборудование/материалы)</t>
  </si>
  <si>
    <t>Код работ (единичных расценок)</t>
  </si>
  <si>
    <t>Стоимость за ед., без НДС 20%, руб. (с учетом доставки, ЗСР)</t>
  </si>
  <si>
    <t>Стоимость всего, без НДС, руб.</t>
  </si>
  <si>
    <t>Количество</t>
  </si>
  <si>
    <t>BOE</t>
  </si>
  <si>
    <t>Марка комплекта</t>
  </si>
  <si>
    <t>Единица измерения</t>
  </si>
  <si>
    <t>Примечание</t>
  </si>
  <si>
    <t>Количество (всего)</t>
  </si>
  <si>
    <t>Един. расценка на оплату труда за ед., руб.</t>
  </si>
  <si>
    <t>Един. расценка на прямые затраты,руб (13+14)</t>
  </si>
  <si>
    <t>BOQ</t>
  </si>
  <si>
    <t>Зона ответственности поставки (Заказчик / НИПИГАЗ / Строительный подрядчик)</t>
  </si>
  <si>
    <t>Зона ответственности поставки (Заказчик /НИПИГАЗ / Строительный подрядчик)</t>
  </si>
  <si>
    <t>1600-SOT.OD</t>
  </si>
  <si>
    <t>1600-SOT.OD Ведомость документов</t>
  </si>
  <si>
    <t>1600-POS.OD</t>
  </si>
  <si>
    <t>1600-POS.OD Ведомость документов</t>
  </si>
  <si>
    <t>1600-SKUD.OD</t>
  </si>
  <si>
    <t>1600-SKUD.OD Ведомость документов</t>
  </si>
  <si>
    <t>1600-SOS.OD</t>
  </si>
  <si>
    <t>1600-SOS.OD Ведомость документов</t>
  </si>
  <si>
    <t>1600-SOO.OD</t>
  </si>
  <si>
    <t>1600-SOO.OD Ведомость документов</t>
  </si>
  <si>
    <t>1600-SPP.OD</t>
  </si>
  <si>
    <t>1600-SPP.OD Ведомость документов</t>
  </si>
  <si>
    <t>6203-SOT.OD</t>
  </si>
  <si>
    <t>6203-SOT.OD Ведомость документов</t>
  </si>
  <si>
    <t>6203-POS.OD</t>
  </si>
  <si>
    <t>6203-POS.OD Ведомость документов</t>
  </si>
  <si>
    <t>6203-SKUD.OD</t>
  </si>
  <si>
    <t>6203-SKUD.OD Ведомость документов</t>
  </si>
  <si>
    <t>Откуда идет</t>
  </si>
  <si>
    <t>Куда поступает</t>
  </si>
  <si>
    <t>Обозначение кабеля, провода по СТП-210.000-01</t>
  </si>
  <si>
    <t>Статив, устройство</t>
  </si>
  <si>
    <t>Гребенка, разъем</t>
  </si>
  <si>
    <t>Марка, емкость кабеля</t>
  </si>
  <si>
    <t>Способ прокладки</t>
  </si>
  <si>
    <t>Общая длина</t>
  </si>
  <si>
    <t>В шкафу</t>
  </si>
  <si>
    <t>В лотке</t>
  </si>
  <si>
    <t>В кабель-канале</t>
  </si>
  <si>
    <t>Открыто по конструкциям</t>
  </si>
  <si>
    <t>В гофротрубе</t>
  </si>
  <si>
    <t>В металлорукаве</t>
  </si>
  <si>
    <t>В трубе</t>
  </si>
  <si>
    <t>В траншее</t>
  </si>
  <si>
    <t>CJ</t>
  </si>
  <si>
    <t>Обозначение</t>
  </si>
  <si>
    <t>Формат</t>
  </si>
  <si>
    <t>Наименование</t>
  </si>
  <si>
    <t>OD</t>
  </si>
  <si>
    <t>Поз.</t>
  </si>
  <si>
    <t>Кол.</t>
  </si>
  <si>
    <t>Тип, марка, обозначение документа, опросного листа</t>
  </si>
  <si>
    <t>MTO</t>
  </si>
  <si>
    <t xml:space="preserve">Ед. измерения
</t>
  </si>
  <si>
    <t>Норма расхода (справочно)</t>
  </si>
  <si>
    <t>Количество с учетом нормы расхода</t>
  </si>
  <si>
    <t>Наименование работ (единичных расценок)</t>
  </si>
  <si>
    <t>Прямые затраты всего, руб (17х8)</t>
  </si>
  <si>
    <r>
      <t xml:space="preserve">Един. расценка на строительное оборудование </t>
    </r>
    <r>
      <rPr>
        <i/>
        <sz val="10"/>
        <rFont val="Calibri"/>
        <family val="2"/>
        <charset val="204"/>
      </rPr>
      <t>(эксплуата-ция машин и механизмов - ЭММ), руб.</t>
    </r>
  </si>
  <si>
    <t>Строительное оборудование за ед., машино / час.</t>
  </si>
  <si>
    <r>
      <t>Строительное оборудование всего, машино / час.</t>
    </r>
    <r>
      <rPr>
        <i/>
        <sz val="10"/>
        <rFont val="Calibri"/>
        <family val="2"/>
        <charset val="204"/>
      </rPr>
      <t>(8 х 11)</t>
    </r>
  </si>
  <si>
    <r>
      <t>Трудо-затраты всего, чел. / час.</t>
    </r>
    <r>
      <rPr>
        <i/>
        <sz val="10"/>
        <rFont val="Calibri"/>
        <family val="2"/>
        <charset val="204"/>
      </rPr>
      <t>(8 х 9)</t>
    </r>
  </si>
  <si>
    <t>Трудо-затраты за ед., чел. / час.</t>
  </si>
  <si>
    <t>CJO</t>
  </si>
  <si>
    <t>Длина</t>
  </si>
  <si>
    <t>Cечение</t>
  </si>
  <si>
    <t>Напряжение</t>
  </si>
  <si>
    <t>Число жил</t>
  </si>
  <si>
    <t>position</t>
  </si>
  <si>
    <t>rec_number</t>
  </si>
  <si>
    <t>rec_name</t>
  </si>
  <si>
    <t>comment</t>
  </si>
  <si>
    <t>название поля</t>
  </si>
  <si>
    <t>откуда</t>
  </si>
  <si>
    <t>number</t>
  </si>
  <si>
    <t>name</t>
  </si>
  <si>
    <t>DocPart_instance_</t>
  </si>
  <si>
    <t>DocPart_</t>
  </si>
  <si>
    <t>docpart_number</t>
  </si>
  <si>
    <t>docpart_name</t>
  </si>
  <si>
    <t>mass</t>
  </si>
  <si>
    <t>volume</t>
  </si>
  <si>
    <t>unit</t>
  </si>
  <si>
    <t xml:space="preserve">producer </t>
  </si>
  <si>
    <t>code</t>
  </si>
  <si>
    <t>model</t>
  </si>
  <si>
    <t>DocPart_instance</t>
  </si>
  <si>
    <t>Номер раздела</t>
  </si>
  <si>
    <t>parttype</t>
  </si>
  <si>
    <t>Название раздела</t>
  </si>
  <si>
    <t>Тип раздела</t>
  </si>
  <si>
    <t>Equip_instance, Material_instance</t>
  </si>
  <si>
    <t>DocPartType_</t>
  </si>
  <si>
    <t>DocPartType_instance_</t>
  </si>
  <si>
    <t>docpart_type</t>
  </si>
  <si>
    <t>Оборудование</t>
  </si>
  <si>
    <t>Материалы</t>
  </si>
  <si>
    <t>Кабельная продукция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</si>
</sst>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;&quot;-&quot;"/>
  </numFmts>
  <fonts count="16" x14ac:knownFonts="1"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b/>
      <sz val="10"/>
      <color theme="1"/>
      <name val="Calibri"/>
      <family val="2"/>
      <charset val="204"/>
    </font>
    <font>
      <u/>
      <sz val="11"/>
      <color theme="10"/>
      <name val="Calibri"/>
      <family val="2"/>
      <charset val="204"/>
    </font>
    <font>
      <sz val="8"/>
      <name val="Calibri"/>
      <family val="2"/>
      <charset val="204"/>
    </font>
    <font>
      <u/>
      <sz val="10"/>
      <color theme="10"/>
      <name val="Calibri"/>
      <family val="2"/>
      <charset val="204"/>
    </font>
    <font>
      <u/>
      <sz val="9"/>
      <color theme="10"/>
      <name val="Calibri"/>
      <family val="2"/>
      <charset val="204"/>
    </font>
    <font>
      <sz val="9"/>
      <color theme="1"/>
      <name val="Calibri"/>
      <family val="2"/>
      <charset val="204"/>
    </font>
    <font>
      <i/>
      <sz val="9"/>
      <color theme="1"/>
      <name val="Calibri"/>
      <family val="2"/>
      <charset val="204"/>
    </font>
    <font>
      <i/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</font>
    <font>
      <i/>
      <u/>
      <sz val="10"/>
      <color theme="10"/>
      <name val="Calibri"/>
      <family val="2"/>
      <charset val="204"/>
    </font>
    <font>
      <b/>
      <sz val="9"/>
      <color theme="1"/>
      <name val="Calibri"/>
      <family val="2"/>
      <charset val="204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i/>
      <sz val="1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3" fillId="0" borderId="0" xfId="1"/>
    <xf numFmtId="0" fontId="3" fillId="0" borderId="0" xfId="1" applyAlignment="1">
      <alignment horizontal="center" vertical="center"/>
    </xf>
    <xf numFmtId="0" fontId="5" fillId="0" borderId="0" xfId="1" applyFont="1"/>
    <xf numFmtId="0" fontId="5" fillId="0" borderId="2" xfId="1" applyFont="1" applyBorder="1" applyAlignment="1">
      <alignment horizontal="center" vertical="center"/>
    </xf>
    <xf numFmtId="0" fontId="1" fillId="0" borderId="2" xfId="0" applyFont="1" applyBorder="1" applyAlignment="1">
      <alignment horizontal="right" vertical="center"/>
    </xf>
    <xf numFmtId="0" fontId="5" fillId="0" borderId="2" xfId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5" fillId="0" borderId="2" xfId="1" applyFont="1" applyBorder="1"/>
    <xf numFmtId="0" fontId="1" fillId="0" borderId="2" xfId="0" applyFont="1" applyBorder="1"/>
    <xf numFmtId="0" fontId="3" fillId="0" borderId="2" xfId="1" applyBorder="1"/>
    <xf numFmtId="49" fontId="1" fillId="0" borderId="2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/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/>
    </xf>
    <xf numFmtId="0" fontId="5" fillId="0" borderId="2" xfId="1" applyFont="1" applyBorder="1" applyAlignment="1">
      <alignment vertic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5" fillId="0" borderId="2" xfId="1" applyFont="1" applyBorder="1" applyAlignment="1">
      <alignment horizontal="left"/>
    </xf>
    <xf numFmtId="0" fontId="1" fillId="0" borderId="2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5" fillId="2" borderId="2" xfId="1" applyFont="1" applyFill="1" applyBorder="1"/>
    <xf numFmtId="0" fontId="11" fillId="3" borderId="2" xfId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/>
    <xf numFmtId="0" fontId="10" fillId="3" borderId="0" xfId="0" applyFont="1" applyFill="1"/>
    <xf numFmtId="0" fontId="0" fillId="5" borderId="0" xfId="0" applyFill="1"/>
    <xf numFmtId="0" fontId="0" fillId="0" borderId="0" xfId="0" applyFont="1" applyAlignment="1">
      <alignment horizontal="right"/>
    </xf>
    <xf numFmtId="0" fontId="11" fillId="6" borderId="2" xfId="1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left" vertical="center"/>
    </xf>
    <xf numFmtId="0" fontId="5" fillId="4" borderId="2" xfId="1" applyFont="1" applyFill="1" applyBorder="1" applyAlignment="1">
      <alignment horizontal="center" vertical="center"/>
    </xf>
    <xf numFmtId="0" fontId="5" fillId="4" borderId="2" xfId="1" applyFont="1" applyFill="1" applyBorder="1"/>
    <xf numFmtId="0" fontId="11" fillId="6" borderId="2" xfId="1" applyFont="1" applyFill="1" applyBorder="1"/>
    <xf numFmtId="0" fontId="5" fillId="7" borderId="2" xfId="1" applyFont="1" applyFill="1" applyBorder="1" applyAlignment="1">
      <alignment horizontal="left" vertical="center"/>
    </xf>
    <xf numFmtId="0" fontId="1" fillId="0" borderId="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6" fillId="0" borderId="4" xfId="1" applyFont="1" applyBorder="1" applyAlignment="1">
      <alignment horizontal="right"/>
    </xf>
    <xf numFmtId="0" fontId="6" fillId="0" borderId="5" xfId="1" applyFont="1" applyBorder="1" applyAlignment="1">
      <alignment horizontal="right"/>
    </xf>
    <xf numFmtId="0" fontId="6" fillId="0" borderId="6" xfId="1" applyFont="1" applyBorder="1" applyAlignment="1">
      <alignment horizontal="right"/>
    </xf>
    <xf numFmtId="0" fontId="7" fillId="0" borderId="3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6" fillId="0" borderId="7" xfId="1" applyFont="1" applyBorder="1" applyAlignment="1">
      <alignment horizontal="right"/>
    </xf>
    <xf numFmtId="0" fontId="6" fillId="0" borderId="8" xfId="1" applyFont="1" applyBorder="1" applyAlignment="1">
      <alignment horizontal="right"/>
    </xf>
    <xf numFmtId="0" fontId="6" fillId="0" borderId="9" xfId="1" applyFont="1" applyBorder="1" applyAlignment="1">
      <alignment horizontal="right"/>
    </xf>
    <xf numFmtId="0" fontId="0" fillId="8" borderId="0" xfId="0" applyFill="1"/>
    <xf numFmtId="0" fontId="10" fillId="8" borderId="0" xfId="0" applyFont="1" applyFill="1"/>
    <xf numFmtId="0" fontId="0" fillId="6" borderId="0" xfId="0" applyFill="1"/>
    <xf numFmtId="0" fontId="12" fillId="0" borderId="3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6" fillId="8" borderId="4" xfId="1" applyFont="1" applyFill="1" applyBorder="1" applyAlignment="1">
      <alignment horizontal="right"/>
    </xf>
    <xf numFmtId="0" fontId="6" fillId="8" borderId="5" xfId="1" applyFont="1" applyFill="1" applyBorder="1" applyAlignment="1">
      <alignment horizontal="right"/>
    </xf>
    <xf numFmtId="0" fontId="6" fillId="8" borderId="6" xfId="1" applyFont="1" applyFill="1" applyBorder="1" applyAlignment="1">
      <alignment horizontal="right"/>
    </xf>
    <xf numFmtId="0" fontId="6" fillId="5" borderId="4" xfId="1" applyFont="1" applyFill="1" applyBorder="1" applyAlignment="1">
      <alignment horizontal="right"/>
    </xf>
    <xf numFmtId="0" fontId="6" fillId="5" borderId="5" xfId="1" applyFont="1" applyFill="1" applyBorder="1" applyAlignment="1">
      <alignment horizontal="right"/>
    </xf>
    <xf numFmtId="0" fontId="6" fillId="5" borderId="6" xfId="1" applyFont="1" applyFill="1" applyBorder="1" applyAlignment="1">
      <alignment horizontal="right"/>
    </xf>
    <xf numFmtId="0" fontId="10" fillId="6" borderId="0" xfId="0" applyFont="1" applyFill="1"/>
    <xf numFmtId="0" fontId="2" fillId="0" borderId="1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0" borderId="0" xfId="0" applyFill="1"/>
    <xf numFmtId="0" fontId="2" fillId="0" borderId="1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164" fontId="1" fillId="0" borderId="2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left"/>
    </xf>
    <xf numFmtId="0" fontId="1" fillId="0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 vertical="center" wrapText="1"/>
    </xf>
    <xf numFmtId="0" fontId="14" fillId="0" borderId="2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vertical="center" textRotation="90" wrapText="1"/>
    </xf>
    <xf numFmtId="49" fontId="13" fillId="0" borderId="2" xfId="0" applyNumberFormat="1" applyFont="1" applyBorder="1" applyAlignment="1">
      <alignment horizontal="left" vertical="center" wrapText="1" shrinkToFi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2" xfId="0" applyFont="1" applyBorder="1" applyAlignment="1">
      <alignment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0" borderId="13" xfId="0" applyFont="1" applyBorder="1" applyAlignment="1"/>
    <xf numFmtId="0" fontId="2" fillId="0" borderId="0" xfId="0" applyFont="1" applyAlignment="1"/>
    <xf numFmtId="0" fontId="13" fillId="0" borderId="2" xfId="0" applyFont="1" applyBorder="1" applyAlignment="1">
      <alignment horizontal="center" vertical="center" wrapText="1" shrinkToFit="1"/>
    </xf>
    <xf numFmtId="49" fontId="13" fillId="0" borderId="2" xfId="0" applyNumberFormat="1" applyFont="1" applyBorder="1" applyAlignment="1">
      <alignment horizontal="center" vertical="center" wrapText="1" shrinkToFit="1"/>
    </xf>
    <xf numFmtId="0" fontId="1" fillId="9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left" vertical="center" wrapText="1" shrinkToFit="1"/>
    </xf>
    <xf numFmtId="49" fontId="13" fillId="10" borderId="2" xfId="0" applyNumberFormat="1" applyFont="1" applyFill="1" applyBorder="1" applyAlignment="1">
      <alignment horizontal="left" vertical="center" wrapText="1" shrinkToFit="1"/>
    </xf>
    <xf numFmtId="49" fontId="13" fillId="10" borderId="2" xfId="0" applyNumberFormat="1" applyFont="1" applyFill="1" applyBorder="1" applyAlignment="1">
      <alignment horizontal="center" vertical="center" wrapText="1" shrinkToFit="1"/>
    </xf>
    <xf numFmtId="0" fontId="13" fillId="10" borderId="2" xfId="0" applyFont="1" applyFill="1" applyBorder="1" applyAlignment="1">
      <alignment horizontal="center" vertical="center" wrapText="1" shrinkToFit="1"/>
    </xf>
    <xf numFmtId="0" fontId="1" fillId="10" borderId="2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left" vertical="center" wrapText="1"/>
    </xf>
    <xf numFmtId="0" fontId="13" fillId="2" borderId="2" xfId="0" applyFont="1" applyFill="1" applyBorder="1" applyAlignment="1">
      <alignment horizontal="left" vertical="center" wrapText="1" shrinkToFit="1"/>
    </xf>
    <xf numFmtId="0" fontId="13" fillId="2" borderId="2" xfId="0" applyFont="1" applyFill="1" applyBorder="1" applyAlignment="1">
      <alignment horizontal="center" vertical="center" wrapText="1" shrinkToFit="1"/>
    </xf>
    <xf numFmtId="49" fontId="13" fillId="2" borderId="2" xfId="0" applyNumberFormat="1" applyFont="1" applyFill="1" applyBorder="1" applyAlignment="1">
      <alignment horizontal="left" vertical="center" wrapText="1" shrinkToFit="1"/>
    </xf>
    <xf numFmtId="49" fontId="13" fillId="2" borderId="2" xfId="0" applyNumberFormat="1" applyFont="1" applyFill="1" applyBorder="1" applyAlignment="1">
      <alignment horizontal="center" vertical="center" wrapText="1" shrinkToFit="1"/>
    </xf>
    <xf numFmtId="0" fontId="1" fillId="0" borderId="0" xfId="0" applyFont="1"/>
    <xf numFmtId="0" fontId="1" fillId="0" borderId="10" xfId="0" applyFont="1" applyBorder="1"/>
    <xf numFmtId="0" fontId="1" fillId="2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81"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ont>
        <color auto="1"/>
      </font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rgb="FFFFCCCC"/>
        </patternFill>
      </fill>
    </dxf>
    <dxf>
      <fill>
        <patternFill>
          <bgColor theme="7" tint="0.59996337778862885"/>
        </patternFill>
      </fill>
    </dxf>
    <dxf>
      <font>
        <b/>
        <i/>
        <strike val="0"/>
      </font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6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19051</xdr:colOff>
          <xdr:row>23</xdr:row>
          <xdr:rowOff>95249</xdr:rowOff>
        </xdr:from>
        <xdr:to>
          <xdr:col>4</xdr:col>
          <xdr:colOff>514351</xdr:colOff>
          <xdr:row>24</xdr:row>
          <xdr:rowOff>142874</xdr:rowOff>
        </xdr:to>
        <xdr:sp macro="" textlink="">
          <xdr:nvSpPr>
            <xdr:cNvPr id="2054" name="chkList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B800AA9A-6DF2-47A1-8ED0-01BD4B6E3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23</xdr:row>
          <xdr:rowOff>76200</xdr:rowOff>
        </xdr:from>
        <xdr:to>
          <xdr:col>4</xdr:col>
          <xdr:colOff>1209675</xdr:colOff>
          <xdr:row>24</xdr:row>
          <xdr:rowOff>161925</xdr:rowOff>
        </xdr:to>
        <xdr:sp macro="" textlink="">
          <xdr:nvSpPr>
            <xdr:cNvPr id="2055" name="chkRecord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E94514C3-523B-47A1-B0F0-E73D0DAF8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23</xdr:row>
          <xdr:rowOff>76200</xdr:rowOff>
        </xdr:from>
        <xdr:to>
          <xdr:col>6</xdr:col>
          <xdr:colOff>47625</xdr:colOff>
          <xdr:row>24</xdr:row>
          <xdr:rowOff>161925</xdr:rowOff>
        </xdr:to>
        <xdr:sp macro="" textlink="">
          <xdr:nvSpPr>
            <xdr:cNvPr id="2056" name="chkNomenclatur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EE959A23-4CA1-409A-B59D-2CB3D13C1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23</xdr:row>
          <xdr:rowOff>85725</xdr:rowOff>
        </xdr:from>
        <xdr:to>
          <xdr:col>6</xdr:col>
          <xdr:colOff>904874</xdr:colOff>
          <xdr:row>24</xdr:row>
          <xdr:rowOff>171450</xdr:rowOff>
        </xdr:to>
        <xdr:sp macro="" textlink="">
          <xdr:nvSpPr>
            <xdr:cNvPr id="2057" name="chkEquipment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EE959A23-4CA1-409A-B59D-2CB3D13C1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990600</xdr:colOff>
          <xdr:row>23</xdr:row>
          <xdr:rowOff>76200</xdr:rowOff>
        </xdr:from>
        <xdr:to>
          <xdr:col>7</xdr:col>
          <xdr:colOff>228600</xdr:colOff>
          <xdr:row>24</xdr:row>
          <xdr:rowOff>161925</xdr:rowOff>
        </xdr:to>
        <xdr:sp macro="" textlink="">
          <xdr:nvSpPr>
            <xdr:cNvPr id="2058" name="chkMaterial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EE959A23-4CA1-409A-B59D-2CB3D13C1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23</xdr:row>
          <xdr:rowOff>76200</xdr:rowOff>
        </xdr:from>
        <xdr:to>
          <xdr:col>7</xdr:col>
          <xdr:colOff>847725</xdr:colOff>
          <xdr:row>24</xdr:row>
          <xdr:rowOff>161925</xdr:rowOff>
        </xdr:to>
        <xdr:sp macro="" textlink="">
          <xdr:nvSpPr>
            <xdr:cNvPr id="2059" name="chkWork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EE959A23-4CA1-409A-B59D-2CB3D13C1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895351</xdr:colOff>
          <xdr:row>23</xdr:row>
          <xdr:rowOff>95250</xdr:rowOff>
        </xdr:from>
        <xdr:to>
          <xdr:col>7</xdr:col>
          <xdr:colOff>1343025</xdr:colOff>
          <xdr:row>24</xdr:row>
          <xdr:rowOff>180975</xdr:rowOff>
        </xdr:to>
        <xdr:sp macro="" textlink="">
          <xdr:nvSpPr>
            <xdr:cNvPr id="2060" name="chkAll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88667C4B-22F0-4DC3-AB1D-CBECEED05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134472</xdr:colOff>
      <xdr:row>1</xdr:row>
      <xdr:rowOff>56029</xdr:rowOff>
    </xdr:from>
    <xdr:to>
      <xdr:col>71</xdr:col>
      <xdr:colOff>89648</xdr:colOff>
      <xdr:row>4</xdr:row>
      <xdr:rowOff>67235</xdr:rowOff>
    </xdr:to>
    <xdr:cxnSp macro="">
      <xdr:nvCxnSpPr>
        <xdr:cNvPr id="88" name="Соединитель: уступ 87">
          <a:extLst>
            <a:ext uri="{FF2B5EF4-FFF2-40B4-BE49-F238E27FC236}">
              <a16:creationId xmlns:a16="http://schemas.microsoft.com/office/drawing/2014/main" id="{527998FE-E598-4C3A-8CAD-7F275C849D0D}"/>
            </a:ext>
          </a:extLst>
        </xdr:cNvPr>
        <xdr:cNvCxnSpPr/>
      </xdr:nvCxnSpPr>
      <xdr:spPr>
        <a:xfrm rot="10800000">
          <a:off x="2801472" y="179294"/>
          <a:ext cx="8426823" cy="381000"/>
        </a:xfrm>
        <a:prstGeom prst="bentConnector3">
          <a:avLst>
            <a:gd name="adj1" fmla="val 133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67236</xdr:colOff>
      <xdr:row>1</xdr:row>
      <xdr:rowOff>33617</xdr:rowOff>
    </xdr:from>
    <xdr:to>
      <xdr:col>21</xdr:col>
      <xdr:colOff>67236</xdr:colOff>
      <xdr:row>4</xdr:row>
      <xdr:rowOff>78441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E00D0BC1-B570-45EF-8FEE-643028A103D3}"/>
            </a:ext>
          </a:extLst>
        </xdr:cNvPr>
        <xdr:cNvCxnSpPr/>
      </xdr:nvCxnSpPr>
      <xdr:spPr>
        <a:xfrm flipV="1">
          <a:off x="3198062" y="157856"/>
          <a:ext cx="0" cy="41754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59909</xdr:colOff>
      <xdr:row>1</xdr:row>
      <xdr:rowOff>33617</xdr:rowOff>
    </xdr:from>
    <xdr:to>
      <xdr:col>31</xdr:col>
      <xdr:colOff>59909</xdr:colOff>
      <xdr:row>4</xdr:row>
      <xdr:rowOff>78441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72D3AF2B-0C96-426D-A136-32B42D1E82CA}"/>
            </a:ext>
          </a:extLst>
        </xdr:cNvPr>
        <xdr:cNvCxnSpPr/>
      </xdr:nvCxnSpPr>
      <xdr:spPr>
        <a:xfrm flipV="1">
          <a:off x="4829736" y="158175"/>
          <a:ext cx="0" cy="41849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59909</xdr:colOff>
      <xdr:row>1</xdr:row>
      <xdr:rowOff>33617</xdr:rowOff>
    </xdr:from>
    <xdr:to>
      <xdr:col>41</xdr:col>
      <xdr:colOff>59909</xdr:colOff>
      <xdr:row>4</xdr:row>
      <xdr:rowOff>78441</xdr:rowOff>
    </xdr:to>
    <xdr:cxnSp macro="">
      <xdr:nvCxnSpPr>
        <xdr:cNvPr id="94" name="Прямая со стрелкой 93">
          <a:extLst>
            <a:ext uri="{FF2B5EF4-FFF2-40B4-BE49-F238E27FC236}">
              <a16:creationId xmlns:a16="http://schemas.microsoft.com/office/drawing/2014/main" id="{BB945825-C2BB-4451-8282-42D2BD345DAB}"/>
            </a:ext>
          </a:extLst>
        </xdr:cNvPr>
        <xdr:cNvCxnSpPr/>
      </xdr:nvCxnSpPr>
      <xdr:spPr>
        <a:xfrm flipV="1">
          <a:off x="6368390" y="158175"/>
          <a:ext cx="0" cy="41849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52582</xdr:colOff>
      <xdr:row>1</xdr:row>
      <xdr:rowOff>33617</xdr:rowOff>
    </xdr:from>
    <xdr:to>
      <xdr:col>51</xdr:col>
      <xdr:colOff>52582</xdr:colOff>
      <xdr:row>4</xdr:row>
      <xdr:rowOff>78441</xdr:rowOff>
    </xdr:to>
    <xdr:cxnSp macro="">
      <xdr:nvCxnSpPr>
        <xdr:cNvPr id="95" name="Прямая со стрелкой 94">
          <a:extLst>
            <a:ext uri="{FF2B5EF4-FFF2-40B4-BE49-F238E27FC236}">
              <a16:creationId xmlns:a16="http://schemas.microsoft.com/office/drawing/2014/main" id="{528BB000-AF58-4E66-8106-6EEEBEA1F550}"/>
            </a:ext>
          </a:extLst>
        </xdr:cNvPr>
        <xdr:cNvCxnSpPr/>
      </xdr:nvCxnSpPr>
      <xdr:spPr>
        <a:xfrm flipV="1">
          <a:off x="7899717" y="158175"/>
          <a:ext cx="0" cy="41849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59910</xdr:colOff>
      <xdr:row>1</xdr:row>
      <xdr:rowOff>33617</xdr:rowOff>
    </xdr:from>
    <xdr:to>
      <xdr:col>61</xdr:col>
      <xdr:colOff>59910</xdr:colOff>
      <xdr:row>4</xdr:row>
      <xdr:rowOff>78441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985DEB6A-6760-4F5A-B8EE-F6E0738CE6AF}"/>
            </a:ext>
          </a:extLst>
        </xdr:cNvPr>
        <xdr:cNvCxnSpPr/>
      </xdr:nvCxnSpPr>
      <xdr:spPr>
        <a:xfrm flipV="1">
          <a:off x="9445698" y="158175"/>
          <a:ext cx="0" cy="41849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41413</xdr:colOff>
      <xdr:row>2</xdr:row>
      <xdr:rowOff>91109</xdr:rowOff>
    </xdr:from>
    <xdr:to>
      <xdr:col>22</xdr:col>
      <xdr:colOff>41413</xdr:colOff>
      <xdr:row>4</xdr:row>
      <xdr:rowOff>82826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2E66B889-4B3E-47C9-840B-559360C7FA8D}"/>
            </a:ext>
          </a:extLst>
        </xdr:cNvPr>
        <xdr:cNvCxnSpPr/>
      </xdr:nvCxnSpPr>
      <xdr:spPr>
        <a:xfrm>
          <a:off x="3321326" y="339587"/>
          <a:ext cx="0" cy="240196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33130</xdr:colOff>
      <xdr:row>2</xdr:row>
      <xdr:rowOff>82826</xdr:rowOff>
    </xdr:from>
    <xdr:to>
      <xdr:col>81</xdr:col>
      <xdr:colOff>102577</xdr:colOff>
      <xdr:row>2</xdr:row>
      <xdr:rowOff>82826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69A0E9B7-4882-4A62-963D-8A15BAA15BEA}"/>
            </a:ext>
          </a:extLst>
        </xdr:cNvPr>
        <xdr:cNvCxnSpPr/>
      </xdr:nvCxnSpPr>
      <xdr:spPr>
        <a:xfrm>
          <a:off x="3418168" y="331941"/>
          <a:ext cx="9147505" cy="0"/>
        </a:xfrm>
        <a:prstGeom prst="line">
          <a:avLst/>
        </a:prstGeom>
        <a:ln w="28575" cap="flat" cmpd="sng" algn="ctr">
          <a:solidFill>
            <a:schemeClr val="accent2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41413</xdr:colOff>
      <xdr:row>2</xdr:row>
      <xdr:rowOff>91109</xdr:rowOff>
    </xdr:from>
    <xdr:to>
      <xdr:col>32</xdr:col>
      <xdr:colOff>41413</xdr:colOff>
      <xdr:row>4</xdr:row>
      <xdr:rowOff>82826</xdr:rowOff>
    </xdr:to>
    <xdr:cxnSp macro="">
      <xdr:nvCxnSpPr>
        <xdr:cNvPr id="103" name="Прямая со стрелкой 102">
          <a:extLst>
            <a:ext uri="{FF2B5EF4-FFF2-40B4-BE49-F238E27FC236}">
              <a16:creationId xmlns:a16="http://schemas.microsoft.com/office/drawing/2014/main" id="{350A806D-9265-41FE-9DD4-ED8839FC929F}"/>
            </a:ext>
          </a:extLst>
        </xdr:cNvPr>
        <xdr:cNvCxnSpPr/>
      </xdr:nvCxnSpPr>
      <xdr:spPr>
        <a:xfrm>
          <a:off x="4965105" y="340224"/>
          <a:ext cx="0" cy="240833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56066</xdr:colOff>
      <xdr:row>2</xdr:row>
      <xdr:rowOff>91109</xdr:rowOff>
    </xdr:from>
    <xdr:to>
      <xdr:col>52</xdr:col>
      <xdr:colOff>56066</xdr:colOff>
      <xdr:row>4</xdr:row>
      <xdr:rowOff>82826</xdr:rowOff>
    </xdr:to>
    <xdr:cxnSp macro="">
      <xdr:nvCxnSpPr>
        <xdr:cNvPr id="104" name="Прямая со стрелкой 103">
          <a:extLst>
            <a:ext uri="{FF2B5EF4-FFF2-40B4-BE49-F238E27FC236}">
              <a16:creationId xmlns:a16="http://schemas.microsoft.com/office/drawing/2014/main" id="{92ABA53D-D6C2-402E-AC86-73855A183E90}"/>
            </a:ext>
          </a:extLst>
        </xdr:cNvPr>
        <xdr:cNvCxnSpPr/>
      </xdr:nvCxnSpPr>
      <xdr:spPr>
        <a:xfrm>
          <a:off x="8057066" y="340224"/>
          <a:ext cx="0" cy="240833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62</xdr:col>
      <xdr:colOff>63393</xdr:colOff>
      <xdr:row>2</xdr:row>
      <xdr:rowOff>91109</xdr:rowOff>
    </xdr:from>
    <xdr:to>
      <xdr:col>62</xdr:col>
      <xdr:colOff>63393</xdr:colOff>
      <xdr:row>4</xdr:row>
      <xdr:rowOff>82826</xdr:rowOff>
    </xdr:to>
    <xdr:cxnSp macro="">
      <xdr:nvCxnSpPr>
        <xdr:cNvPr id="105" name="Прямая со стрелкой 104">
          <a:extLst>
            <a:ext uri="{FF2B5EF4-FFF2-40B4-BE49-F238E27FC236}">
              <a16:creationId xmlns:a16="http://schemas.microsoft.com/office/drawing/2014/main" id="{5986A5D2-239E-457D-AF66-3E0EBCEF4798}"/>
            </a:ext>
          </a:extLst>
        </xdr:cNvPr>
        <xdr:cNvCxnSpPr/>
      </xdr:nvCxnSpPr>
      <xdr:spPr>
        <a:xfrm>
          <a:off x="9603047" y="340224"/>
          <a:ext cx="0" cy="240833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72</xdr:col>
      <xdr:colOff>85374</xdr:colOff>
      <xdr:row>2</xdr:row>
      <xdr:rowOff>91109</xdr:rowOff>
    </xdr:from>
    <xdr:to>
      <xdr:col>72</xdr:col>
      <xdr:colOff>85374</xdr:colOff>
      <xdr:row>4</xdr:row>
      <xdr:rowOff>82826</xdr:rowOff>
    </xdr:to>
    <xdr:cxnSp macro="">
      <xdr:nvCxnSpPr>
        <xdr:cNvPr id="106" name="Прямая со стрелкой 105">
          <a:extLst>
            <a:ext uri="{FF2B5EF4-FFF2-40B4-BE49-F238E27FC236}">
              <a16:creationId xmlns:a16="http://schemas.microsoft.com/office/drawing/2014/main" id="{FECB8F32-9536-4E74-AA58-4082DF261D3D}"/>
            </a:ext>
          </a:extLst>
        </xdr:cNvPr>
        <xdr:cNvCxnSpPr/>
      </xdr:nvCxnSpPr>
      <xdr:spPr>
        <a:xfrm>
          <a:off x="11163682" y="340224"/>
          <a:ext cx="0" cy="240833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103851</xdr:colOff>
      <xdr:row>2</xdr:row>
      <xdr:rowOff>77931</xdr:rowOff>
    </xdr:from>
    <xdr:to>
      <xdr:col>81</xdr:col>
      <xdr:colOff>103851</xdr:colOff>
      <xdr:row>4</xdr:row>
      <xdr:rowOff>57978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5CB7B9B3-E174-4E5F-86CC-798259087F26}"/>
            </a:ext>
          </a:extLst>
        </xdr:cNvPr>
        <xdr:cNvCxnSpPr/>
      </xdr:nvCxnSpPr>
      <xdr:spPr>
        <a:xfrm>
          <a:off x="12378112" y="329045"/>
          <a:ext cx="0" cy="231160"/>
        </a:xfrm>
        <a:prstGeom prst="line">
          <a:avLst/>
        </a:prstGeom>
        <a:ln w="28575">
          <a:prstDash val="sysDash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41413</xdr:colOff>
      <xdr:row>17</xdr:row>
      <xdr:rowOff>102314</xdr:rowOff>
    </xdr:from>
    <xdr:to>
      <xdr:col>22</xdr:col>
      <xdr:colOff>41413</xdr:colOff>
      <xdr:row>19</xdr:row>
      <xdr:rowOff>94032</xdr:rowOff>
    </xdr:to>
    <xdr:cxnSp macro="">
      <xdr:nvCxnSpPr>
        <xdr:cNvPr id="109" name="Прямая со стрелкой 108">
          <a:extLst>
            <a:ext uri="{FF2B5EF4-FFF2-40B4-BE49-F238E27FC236}">
              <a16:creationId xmlns:a16="http://schemas.microsoft.com/office/drawing/2014/main" id="{95A0030D-6F17-4838-B78D-D22FB2E666B1}"/>
            </a:ext>
          </a:extLst>
        </xdr:cNvPr>
        <xdr:cNvCxnSpPr/>
      </xdr:nvCxnSpPr>
      <xdr:spPr>
        <a:xfrm>
          <a:off x="3492825" y="1951285"/>
          <a:ext cx="0" cy="238247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33130</xdr:colOff>
      <xdr:row>17</xdr:row>
      <xdr:rowOff>94031</xdr:rowOff>
    </xdr:from>
    <xdr:to>
      <xdr:col>81</xdr:col>
      <xdr:colOff>102577</xdr:colOff>
      <xdr:row>17</xdr:row>
      <xdr:rowOff>94031</xdr:rowOff>
    </xdr:to>
    <xdr:cxnSp macro="">
      <xdr:nvCxnSpPr>
        <xdr:cNvPr id="110" name="Прямая соединительная линия 109">
          <a:extLst>
            <a:ext uri="{FF2B5EF4-FFF2-40B4-BE49-F238E27FC236}">
              <a16:creationId xmlns:a16="http://schemas.microsoft.com/office/drawing/2014/main" id="{EDF222DC-A198-4741-A1F5-DD97717E843E}"/>
            </a:ext>
          </a:extLst>
        </xdr:cNvPr>
        <xdr:cNvCxnSpPr/>
      </xdr:nvCxnSpPr>
      <xdr:spPr>
        <a:xfrm>
          <a:off x="3313043" y="2206096"/>
          <a:ext cx="8865577" cy="0"/>
        </a:xfrm>
        <a:prstGeom prst="line">
          <a:avLst/>
        </a:prstGeom>
        <a:ln w="28575" cap="flat" cmpd="sng" algn="ctr">
          <a:solidFill>
            <a:schemeClr val="accent2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22363</xdr:colOff>
      <xdr:row>17</xdr:row>
      <xdr:rowOff>102314</xdr:rowOff>
    </xdr:from>
    <xdr:to>
      <xdr:col>32</xdr:col>
      <xdr:colOff>22363</xdr:colOff>
      <xdr:row>19</xdr:row>
      <xdr:rowOff>94032</xdr:rowOff>
    </xdr:to>
    <xdr:cxnSp macro="">
      <xdr:nvCxnSpPr>
        <xdr:cNvPr id="111" name="Прямая со стрелкой 110">
          <a:extLst>
            <a:ext uri="{FF2B5EF4-FFF2-40B4-BE49-F238E27FC236}">
              <a16:creationId xmlns:a16="http://schemas.microsoft.com/office/drawing/2014/main" id="{7E734410-8366-4D41-9823-29E620DF75AE}"/>
            </a:ext>
          </a:extLst>
        </xdr:cNvPr>
        <xdr:cNvCxnSpPr/>
      </xdr:nvCxnSpPr>
      <xdr:spPr>
        <a:xfrm>
          <a:off x="4899163" y="1959689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53582</xdr:colOff>
      <xdr:row>17</xdr:row>
      <xdr:rowOff>85750</xdr:rowOff>
    </xdr:from>
    <xdr:to>
      <xdr:col>42</xdr:col>
      <xdr:colOff>53582</xdr:colOff>
      <xdr:row>19</xdr:row>
      <xdr:rowOff>77468</xdr:rowOff>
    </xdr:to>
    <xdr:cxnSp macro="">
      <xdr:nvCxnSpPr>
        <xdr:cNvPr id="112" name="Прямая со стрелкой 111">
          <a:extLst>
            <a:ext uri="{FF2B5EF4-FFF2-40B4-BE49-F238E27FC236}">
              <a16:creationId xmlns:a16="http://schemas.microsoft.com/office/drawing/2014/main" id="{B3DD58E5-C14F-4168-B6C8-5904A8D56CF8}"/>
            </a:ext>
          </a:extLst>
        </xdr:cNvPr>
        <xdr:cNvCxnSpPr/>
      </xdr:nvCxnSpPr>
      <xdr:spPr>
        <a:xfrm>
          <a:off x="6454382" y="1943125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44343</xdr:colOff>
      <xdr:row>17</xdr:row>
      <xdr:rowOff>102314</xdr:rowOff>
    </xdr:from>
    <xdr:to>
      <xdr:col>62</xdr:col>
      <xdr:colOff>44343</xdr:colOff>
      <xdr:row>19</xdr:row>
      <xdr:rowOff>94032</xdr:rowOff>
    </xdr:to>
    <xdr:cxnSp macro="">
      <xdr:nvCxnSpPr>
        <xdr:cNvPr id="113" name="Прямая со стрелкой 112">
          <a:extLst>
            <a:ext uri="{FF2B5EF4-FFF2-40B4-BE49-F238E27FC236}">
              <a16:creationId xmlns:a16="http://schemas.microsoft.com/office/drawing/2014/main" id="{5E10FA5D-FE4C-49E0-A6C6-5CD1BB96ACFF}"/>
            </a:ext>
          </a:extLst>
        </xdr:cNvPr>
        <xdr:cNvCxnSpPr/>
      </xdr:nvCxnSpPr>
      <xdr:spPr>
        <a:xfrm>
          <a:off x="9493143" y="1959689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72</xdr:col>
      <xdr:colOff>66324</xdr:colOff>
      <xdr:row>17</xdr:row>
      <xdr:rowOff>102314</xdr:rowOff>
    </xdr:from>
    <xdr:to>
      <xdr:col>72</xdr:col>
      <xdr:colOff>66324</xdr:colOff>
      <xdr:row>19</xdr:row>
      <xdr:rowOff>94032</xdr:rowOff>
    </xdr:to>
    <xdr:cxnSp macro="">
      <xdr:nvCxnSpPr>
        <xdr:cNvPr id="114" name="Прямая со стрелкой 113">
          <a:extLst>
            <a:ext uri="{FF2B5EF4-FFF2-40B4-BE49-F238E27FC236}">
              <a16:creationId xmlns:a16="http://schemas.microsoft.com/office/drawing/2014/main" id="{B941FBF3-EE86-4752-8A61-6461CD704D43}"/>
            </a:ext>
          </a:extLst>
        </xdr:cNvPr>
        <xdr:cNvCxnSpPr/>
      </xdr:nvCxnSpPr>
      <xdr:spPr>
        <a:xfrm>
          <a:off x="11039124" y="1959689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103851</xdr:colOff>
      <xdr:row>17</xdr:row>
      <xdr:rowOff>102314</xdr:rowOff>
    </xdr:from>
    <xdr:to>
      <xdr:col>81</xdr:col>
      <xdr:colOff>103851</xdr:colOff>
      <xdr:row>19</xdr:row>
      <xdr:rowOff>69184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35024970-1A27-41A6-922E-DE0D973297E3}"/>
            </a:ext>
          </a:extLst>
        </xdr:cNvPr>
        <xdr:cNvCxnSpPr/>
      </xdr:nvCxnSpPr>
      <xdr:spPr>
        <a:xfrm>
          <a:off x="12811322" y="1951285"/>
          <a:ext cx="0" cy="213399"/>
        </a:xfrm>
        <a:prstGeom prst="line">
          <a:avLst/>
        </a:prstGeom>
        <a:ln w="28575">
          <a:prstDash val="sysDash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67236</xdr:colOff>
      <xdr:row>15</xdr:row>
      <xdr:rowOff>115956</xdr:rowOff>
    </xdr:from>
    <xdr:to>
      <xdr:col>21</xdr:col>
      <xdr:colOff>67236</xdr:colOff>
      <xdr:row>19</xdr:row>
      <xdr:rowOff>78441</xdr:rowOff>
    </xdr:to>
    <xdr:cxnSp macro="">
      <xdr:nvCxnSpPr>
        <xdr:cNvPr id="117" name="Прямая со стрелкой 116">
          <a:extLst>
            <a:ext uri="{FF2B5EF4-FFF2-40B4-BE49-F238E27FC236}">
              <a16:creationId xmlns:a16="http://schemas.microsoft.com/office/drawing/2014/main" id="{B21D47D9-93C8-457C-B8C0-DED2AA81BDE4}"/>
            </a:ext>
          </a:extLst>
        </xdr:cNvPr>
        <xdr:cNvCxnSpPr/>
      </xdr:nvCxnSpPr>
      <xdr:spPr>
        <a:xfrm flipV="1">
          <a:off x="3198062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83801</xdr:colOff>
      <xdr:row>15</xdr:row>
      <xdr:rowOff>115956</xdr:rowOff>
    </xdr:from>
    <xdr:to>
      <xdr:col>31</xdr:col>
      <xdr:colOff>83801</xdr:colOff>
      <xdr:row>19</xdr:row>
      <xdr:rowOff>78441</xdr:rowOff>
    </xdr:to>
    <xdr:cxnSp macro="">
      <xdr:nvCxnSpPr>
        <xdr:cNvPr id="123" name="Прямая со стрелкой 122">
          <a:extLst>
            <a:ext uri="{FF2B5EF4-FFF2-40B4-BE49-F238E27FC236}">
              <a16:creationId xmlns:a16="http://schemas.microsoft.com/office/drawing/2014/main" id="{467D8ADA-ADFC-43D1-9C1A-AFADAF3C7BE7}"/>
            </a:ext>
          </a:extLst>
        </xdr:cNvPr>
        <xdr:cNvCxnSpPr/>
      </xdr:nvCxnSpPr>
      <xdr:spPr>
        <a:xfrm flipV="1">
          <a:off x="4705497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75519</xdr:colOff>
      <xdr:row>15</xdr:row>
      <xdr:rowOff>115956</xdr:rowOff>
    </xdr:from>
    <xdr:to>
      <xdr:col>41</xdr:col>
      <xdr:colOff>75519</xdr:colOff>
      <xdr:row>19</xdr:row>
      <xdr:rowOff>78441</xdr:rowOff>
    </xdr:to>
    <xdr:cxnSp macro="">
      <xdr:nvCxnSpPr>
        <xdr:cNvPr id="124" name="Прямая со стрелкой 123">
          <a:extLst>
            <a:ext uri="{FF2B5EF4-FFF2-40B4-BE49-F238E27FC236}">
              <a16:creationId xmlns:a16="http://schemas.microsoft.com/office/drawing/2014/main" id="{BFAB20C9-2AC3-4F64-A146-CF2477E73D85}"/>
            </a:ext>
          </a:extLst>
        </xdr:cNvPr>
        <xdr:cNvCxnSpPr/>
      </xdr:nvCxnSpPr>
      <xdr:spPr>
        <a:xfrm flipV="1">
          <a:off x="6188084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83801</xdr:colOff>
      <xdr:row>15</xdr:row>
      <xdr:rowOff>115956</xdr:rowOff>
    </xdr:from>
    <xdr:to>
      <xdr:col>51</xdr:col>
      <xdr:colOff>83801</xdr:colOff>
      <xdr:row>19</xdr:row>
      <xdr:rowOff>78441</xdr:rowOff>
    </xdr:to>
    <xdr:cxnSp macro="">
      <xdr:nvCxnSpPr>
        <xdr:cNvPr id="125" name="Прямая со стрелкой 124">
          <a:extLst>
            <a:ext uri="{FF2B5EF4-FFF2-40B4-BE49-F238E27FC236}">
              <a16:creationId xmlns:a16="http://schemas.microsoft.com/office/drawing/2014/main" id="{29DE21A0-E6DE-405F-B26D-EFCE5C02E420}"/>
            </a:ext>
          </a:extLst>
        </xdr:cNvPr>
        <xdr:cNvCxnSpPr/>
      </xdr:nvCxnSpPr>
      <xdr:spPr>
        <a:xfrm flipV="1">
          <a:off x="7687236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83802</xdr:colOff>
      <xdr:row>15</xdr:row>
      <xdr:rowOff>115956</xdr:rowOff>
    </xdr:from>
    <xdr:to>
      <xdr:col>61</xdr:col>
      <xdr:colOff>83802</xdr:colOff>
      <xdr:row>19</xdr:row>
      <xdr:rowOff>78441</xdr:rowOff>
    </xdr:to>
    <xdr:cxnSp macro="">
      <xdr:nvCxnSpPr>
        <xdr:cNvPr id="126" name="Прямая со стрелкой 125">
          <a:extLst>
            <a:ext uri="{FF2B5EF4-FFF2-40B4-BE49-F238E27FC236}">
              <a16:creationId xmlns:a16="http://schemas.microsoft.com/office/drawing/2014/main" id="{46C9BE73-BEBB-4AC8-8902-098593268502}"/>
            </a:ext>
          </a:extLst>
        </xdr:cNvPr>
        <xdr:cNvCxnSpPr/>
      </xdr:nvCxnSpPr>
      <xdr:spPr>
        <a:xfrm flipV="1">
          <a:off x="9178106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83802</xdr:colOff>
      <xdr:row>15</xdr:row>
      <xdr:rowOff>115956</xdr:rowOff>
    </xdr:from>
    <xdr:to>
      <xdr:col>71</xdr:col>
      <xdr:colOff>83802</xdr:colOff>
      <xdr:row>19</xdr:row>
      <xdr:rowOff>78441</xdr:rowOff>
    </xdr:to>
    <xdr:cxnSp macro="">
      <xdr:nvCxnSpPr>
        <xdr:cNvPr id="127" name="Прямая со стрелкой 126">
          <a:extLst>
            <a:ext uri="{FF2B5EF4-FFF2-40B4-BE49-F238E27FC236}">
              <a16:creationId xmlns:a16="http://schemas.microsoft.com/office/drawing/2014/main" id="{AA0D3C5F-67F2-42F6-B06B-CB1C962B214B}"/>
            </a:ext>
          </a:extLst>
        </xdr:cNvPr>
        <xdr:cNvCxnSpPr/>
      </xdr:nvCxnSpPr>
      <xdr:spPr>
        <a:xfrm flipV="1">
          <a:off x="10668976" y="1731065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64349</xdr:colOff>
      <xdr:row>2</xdr:row>
      <xdr:rowOff>91109</xdr:rowOff>
    </xdr:from>
    <xdr:to>
      <xdr:col>42</xdr:col>
      <xdr:colOff>64349</xdr:colOff>
      <xdr:row>4</xdr:row>
      <xdr:rowOff>82826</xdr:rowOff>
    </xdr:to>
    <xdr:cxnSp macro="">
      <xdr:nvCxnSpPr>
        <xdr:cNvPr id="128" name="Прямая со стрелкой 127">
          <a:extLst>
            <a:ext uri="{FF2B5EF4-FFF2-40B4-BE49-F238E27FC236}">
              <a16:creationId xmlns:a16="http://schemas.microsoft.com/office/drawing/2014/main" id="{AE730EB9-3ED4-42F8-9887-340E7426E80A}"/>
            </a:ext>
          </a:extLst>
        </xdr:cNvPr>
        <xdr:cNvCxnSpPr/>
      </xdr:nvCxnSpPr>
      <xdr:spPr>
        <a:xfrm>
          <a:off x="6326001" y="339587"/>
          <a:ext cx="0" cy="240196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52</xdr:col>
      <xdr:colOff>44343</xdr:colOff>
      <xdr:row>17</xdr:row>
      <xdr:rowOff>102314</xdr:rowOff>
    </xdr:from>
    <xdr:to>
      <xdr:col>52</xdr:col>
      <xdr:colOff>44343</xdr:colOff>
      <xdr:row>19</xdr:row>
      <xdr:rowOff>94032</xdr:rowOff>
    </xdr:to>
    <xdr:cxnSp macro="">
      <xdr:nvCxnSpPr>
        <xdr:cNvPr id="129" name="Прямая со стрелкой 128">
          <a:extLst>
            <a:ext uri="{FF2B5EF4-FFF2-40B4-BE49-F238E27FC236}">
              <a16:creationId xmlns:a16="http://schemas.microsoft.com/office/drawing/2014/main" id="{EB9C34CE-23F8-406D-B996-FD8AE006C2D7}"/>
            </a:ext>
          </a:extLst>
        </xdr:cNvPr>
        <xdr:cNvCxnSpPr/>
      </xdr:nvCxnSpPr>
      <xdr:spPr>
        <a:xfrm>
          <a:off x="7969143" y="1959689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75519</xdr:colOff>
      <xdr:row>30</xdr:row>
      <xdr:rowOff>107674</xdr:rowOff>
    </xdr:from>
    <xdr:to>
      <xdr:col>41</xdr:col>
      <xdr:colOff>75519</xdr:colOff>
      <xdr:row>34</xdr:row>
      <xdr:rowOff>70158</xdr:rowOff>
    </xdr:to>
    <xdr:cxnSp macro="">
      <xdr:nvCxnSpPr>
        <xdr:cNvPr id="130" name="Прямая со стрелкой 129">
          <a:extLst>
            <a:ext uri="{FF2B5EF4-FFF2-40B4-BE49-F238E27FC236}">
              <a16:creationId xmlns:a16="http://schemas.microsoft.com/office/drawing/2014/main" id="{77A56AE7-12B5-40D9-956D-305B5BBC8A0F}"/>
            </a:ext>
          </a:extLst>
        </xdr:cNvPr>
        <xdr:cNvCxnSpPr/>
      </xdr:nvCxnSpPr>
      <xdr:spPr>
        <a:xfrm flipV="1">
          <a:off x="6188084" y="3337891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83801</xdr:colOff>
      <xdr:row>30</xdr:row>
      <xdr:rowOff>107674</xdr:rowOff>
    </xdr:from>
    <xdr:to>
      <xdr:col>51</xdr:col>
      <xdr:colOff>83801</xdr:colOff>
      <xdr:row>34</xdr:row>
      <xdr:rowOff>70158</xdr:rowOff>
    </xdr:to>
    <xdr:cxnSp macro="">
      <xdr:nvCxnSpPr>
        <xdr:cNvPr id="131" name="Прямая со стрелкой 130">
          <a:extLst>
            <a:ext uri="{FF2B5EF4-FFF2-40B4-BE49-F238E27FC236}">
              <a16:creationId xmlns:a16="http://schemas.microsoft.com/office/drawing/2014/main" id="{42F88C91-E2B9-4171-B8A2-739C704515CE}"/>
            </a:ext>
          </a:extLst>
        </xdr:cNvPr>
        <xdr:cNvCxnSpPr/>
      </xdr:nvCxnSpPr>
      <xdr:spPr>
        <a:xfrm flipV="1">
          <a:off x="7687236" y="3337891"/>
          <a:ext cx="0" cy="45944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83802</xdr:colOff>
      <xdr:row>30</xdr:row>
      <xdr:rowOff>107674</xdr:rowOff>
    </xdr:from>
    <xdr:to>
      <xdr:col>21</xdr:col>
      <xdr:colOff>83802</xdr:colOff>
      <xdr:row>34</xdr:row>
      <xdr:rowOff>70158</xdr:rowOff>
    </xdr:to>
    <xdr:cxnSp macro="">
      <xdr:nvCxnSpPr>
        <xdr:cNvPr id="132" name="Прямая со стрелкой 131">
          <a:extLst>
            <a:ext uri="{FF2B5EF4-FFF2-40B4-BE49-F238E27FC236}">
              <a16:creationId xmlns:a16="http://schemas.microsoft.com/office/drawing/2014/main" id="{0BCCFAC7-B38F-4C44-A5D6-E64235765F63}"/>
            </a:ext>
          </a:extLst>
        </xdr:cNvPr>
        <xdr:cNvCxnSpPr/>
      </xdr:nvCxnSpPr>
      <xdr:spPr>
        <a:xfrm flipV="1">
          <a:off x="3284202" y="3327124"/>
          <a:ext cx="0" cy="45778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83802</xdr:colOff>
      <xdr:row>30</xdr:row>
      <xdr:rowOff>107674</xdr:rowOff>
    </xdr:from>
    <xdr:to>
      <xdr:col>11</xdr:col>
      <xdr:colOff>83802</xdr:colOff>
      <xdr:row>34</xdr:row>
      <xdr:rowOff>70158</xdr:rowOff>
    </xdr:to>
    <xdr:cxnSp macro="">
      <xdr:nvCxnSpPr>
        <xdr:cNvPr id="133" name="Прямая со стрелкой 132">
          <a:extLst>
            <a:ext uri="{FF2B5EF4-FFF2-40B4-BE49-F238E27FC236}">
              <a16:creationId xmlns:a16="http://schemas.microsoft.com/office/drawing/2014/main" id="{23145D95-E6D8-4EEC-A20A-1D7D4B9A10FB}"/>
            </a:ext>
          </a:extLst>
        </xdr:cNvPr>
        <xdr:cNvCxnSpPr/>
      </xdr:nvCxnSpPr>
      <xdr:spPr>
        <a:xfrm flipV="1">
          <a:off x="1760202" y="3327124"/>
          <a:ext cx="0" cy="45778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58616</xdr:colOff>
      <xdr:row>32</xdr:row>
      <xdr:rowOff>85748</xdr:rowOff>
    </xdr:from>
    <xdr:to>
      <xdr:col>81</xdr:col>
      <xdr:colOff>102577</xdr:colOff>
      <xdr:row>32</xdr:row>
      <xdr:rowOff>85748</xdr:rowOff>
    </xdr:to>
    <xdr:cxnSp macro="">
      <xdr:nvCxnSpPr>
        <xdr:cNvPr id="134" name="Прямая соединительная линия 133">
          <a:extLst>
            <a:ext uri="{FF2B5EF4-FFF2-40B4-BE49-F238E27FC236}">
              <a16:creationId xmlns:a16="http://schemas.microsoft.com/office/drawing/2014/main" id="{2DFAD2B2-7E6C-409E-A6C2-538E7802D165}"/>
            </a:ext>
          </a:extLst>
        </xdr:cNvPr>
        <xdr:cNvCxnSpPr/>
      </xdr:nvCxnSpPr>
      <xdr:spPr>
        <a:xfrm>
          <a:off x="3443654" y="3573363"/>
          <a:ext cx="9122019" cy="0"/>
        </a:xfrm>
        <a:prstGeom prst="line">
          <a:avLst/>
        </a:prstGeom>
        <a:ln w="28575" cap="flat" cmpd="sng" algn="ctr">
          <a:solidFill>
            <a:schemeClr val="accent2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72632</xdr:colOff>
      <xdr:row>32</xdr:row>
      <xdr:rowOff>77467</xdr:rowOff>
    </xdr:from>
    <xdr:to>
      <xdr:col>42</xdr:col>
      <xdr:colOff>72632</xdr:colOff>
      <xdr:row>34</xdr:row>
      <xdr:rowOff>69185</xdr:rowOff>
    </xdr:to>
    <xdr:cxnSp macro="">
      <xdr:nvCxnSpPr>
        <xdr:cNvPr id="135" name="Прямая со стрелкой 134">
          <a:extLst>
            <a:ext uri="{FF2B5EF4-FFF2-40B4-BE49-F238E27FC236}">
              <a16:creationId xmlns:a16="http://schemas.microsoft.com/office/drawing/2014/main" id="{09D62427-1B13-4C83-808F-92906AC03F28}"/>
            </a:ext>
          </a:extLst>
        </xdr:cNvPr>
        <xdr:cNvCxnSpPr/>
      </xdr:nvCxnSpPr>
      <xdr:spPr>
        <a:xfrm>
          <a:off x="6334284" y="3556163"/>
          <a:ext cx="0" cy="240196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63393</xdr:colOff>
      <xdr:row>32</xdr:row>
      <xdr:rowOff>94031</xdr:rowOff>
    </xdr:from>
    <xdr:to>
      <xdr:col>22</xdr:col>
      <xdr:colOff>63393</xdr:colOff>
      <xdr:row>34</xdr:row>
      <xdr:rowOff>85749</xdr:rowOff>
    </xdr:to>
    <xdr:cxnSp macro="">
      <xdr:nvCxnSpPr>
        <xdr:cNvPr id="136" name="Прямая со стрелкой 135">
          <a:extLst>
            <a:ext uri="{FF2B5EF4-FFF2-40B4-BE49-F238E27FC236}">
              <a16:creationId xmlns:a16="http://schemas.microsoft.com/office/drawing/2014/main" id="{579DBE67-7E2B-4B61-B654-32AC2481D41E}"/>
            </a:ext>
          </a:extLst>
        </xdr:cNvPr>
        <xdr:cNvCxnSpPr/>
      </xdr:nvCxnSpPr>
      <xdr:spPr>
        <a:xfrm>
          <a:off x="3416193" y="3561131"/>
          <a:ext cx="0" cy="23936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85374</xdr:colOff>
      <xdr:row>32</xdr:row>
      <xdr:rowOff>17318</xdr:rowOff>
    </xdr:from>
    <xdr:to>
      <xdr:col>12</xdr:col>
      <xdr:colOff>85374</xdr:colOff>
      <xdr:row>34</xdr:row>
      <xdr:rowOff>85749</xdr:rowOff>
    </xdr:to>
    <xdr:cxnSp macro="">
      <xdr:nvCxnSpPr>
        <xdr:cNvPr id="137" name="Прямая со стрелкой 136">
          <a:extLst>
            <a:ext uri="{FF2B5EF4-FFF2-40B4-BE49-F238E27FC236}">
              <a16:creationId xmlns:a16="http://schemas.microsoft.com/office/drawing/2014/main" id="{6B6D9951-573B-4323-9A10-5ECA816BE9CA}"/>
            </a:ext>
          </a:extLst>
        </xdr:cNvPr>
        <xdr:cNvCxnSpPr/>
      </xdr:nvCxnSpPr>
      <xdr:spPr>
        <a:xfrm>
          <a:off x="1903783" y="4035136"/>
          <a:ext cx="0" cy="319545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103851</xdr:colOff>
      <xdr:row>32</xdr:row>
      <xdr:rowOff>94031</xdr:rowOff>
    </xdr:from>
    <xdr:to>
      <xdr:col>81</xdr:col>
      <xdr:colOff>103851</xdr:colOff>
      <xdr:row>34</xdr:row>
      <xdr:rowOff>60901</xdr:rowOff>
    </xdr:to>
    <xdr:cxnSp macro="">
      <xdr:nvCxnSpPr>
        <xdr:cNvPr id="138" name="Прямая соединительная линия 137">
          <a:extLst>
            <a:ext uri="{FF2B5EF4-FFF2-40B4-BE49-F238E27FC236}">
              <a16:creationId xmlns:a16="http://schemas.microsoft.com/office/drawing/2014/main" id="{A7E736CE-CF40-48C7-B6D6-33878693763A}"/>
            </a:ext>
          </a:extLst>
        </xdr:cNvPr>
        <xdr:cNvCxnSpPr/>
      </xdr:nvCxnSpPr>
      <xdr:spPr>
        <a:xfrm>
          <a:off x="12179894" y="3572727"/>
          <a:ext cx="0" cy="215348"/>
        </a:xfrm>
        <a:prstGeom prst="line">
          <a:avLst/>
        </a:prstGeom>
        <a:ln w="28575">
          <a:prstDash val="sysDash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63393</xdr:colOff>
      <xdr:row>32</xdr:row>
      <xdr:rowOff>94031</xdr:rowOff>
    </xdr:from>
    <xdr:to>
      <xdr:col>52</xdr:col>
      <xdr:colOff>63393</xdr:colOff>
      <xdr:row>34</xdr:row>
      <xdr:rowOff>85749</xdr:rowOff>
    </xdr:to>
    <xdr:cxnSp macro="">
      <xdr:nvCxnSpPr>
        <xdr:cNvPr id="139" name="Прямая со стрелкой 138">
          <a:extLst>
            <a:ext uri="{FF2B5EF4-FFF2-40B4-BE49-F238E27FC236}">
              <a16:creationId xmlns:a16="http://schemas.microsoft.com/office/drawing/2014/main" id="{2F9F16BF-FA12-4115-AA2B-5C4B194E9FA1}"/>
            </a:ext>
          </a:extLst>
        </xdr:cNvPr>
        <xdr:cNvCxnSpPr/>
      </xdr:nvCxnSpPr>
      <xdr:spPr>
        <a:xfrm>
          <a:off x="7815915" y="3572727"/>
          <a:ext cx="0" cy="240196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123825</xdr:colOff>
      <xdr:row>1</xdr:row>
      <xdr:rowOff>57150</xdr:rowOff>
    </xdr:from>
    <xdr:to>
      <xdr:col>11</xdr:col>
      <xdr:colOff>57150</xdr:colOff>
      <xdr:row>1</xdr:row>
      <xdr:rowOff>57150</xdr:rowOff>
    </xdr:to>
    <xdr:cxnSp macro="">
      <xdr:nvCxnSpPr>
        <xdr:cNvPr id="142" name="Прямая со стрелкой 141">
          <a:extLst>
            <a:ext uri="{FF2B5EF4-FFF2-40B4-BE49-F238E27FC236}">
              <a16:creationId xmlns:a16="http://schemas.microsoft.com/office/drawing/2014/main" id="{B9734345-2310-4F0E-903C-0FEA62E245D4}"/>
            </a:ext>
          </a:extLst>
        </xdr:cNvPr>
        <xdr:cNvCxnSpPr/>
      </xdr:nvCxnSpPr>
      <xdr:spPr>
        <a:xfrm flipH="1">
          <a:off x="1190625" y="180975"/>
          <a:ext cx="542925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78442</xdr:colOff>
      <xdr:row>4</xdr:row>
      <xdr:rowOff>56029</xdr:rowOff>
    </xdr:from>
    <xdr:to>
      <xdr:col>89</xdr:col>
      <xdr:colOff>78442</xdr:colOff>
      <xdr:row>58</xdr:row>
      <xdr:rowOff>33618</xdr:rowOff>
    </xdr:to>
    <xdr:cxnSp macro="">
      <xdr:nvCxnSpPr>
        <xdr:cNvPr id="148" name="Прямая соединительная линия 147">
          <a:extLst>
            <a:ext uri="{FF2B5EF4-FFF2-40B4-BE49-F238E27FC236}">
              <a16:creationId xmlns:a16="http://schemas.microsoft.com/office/drawing/2014/main" id="{3743EBFB-E77D-48AB-AEC5-5E953C9E6FFE}"/>
            </a:ext>
          </a:extLst>
        </xdr:cNvPr>
        <xdr:cNvCxnSpPr/>
      </xdr:nvCxnSpPr>
      <xdr:spPr>
        <a:xfrm>
          <a:off x="14040971" y="549088"/>
          <a:ext cx="0" cy="6140824"/>
        </a:xfrm>
        <a:prstGeom prst="line">
          <a:avLst/>
        </a:prstGeom>
        <a:ln w="28575">
          <a:prstDash val="sysDash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139212</xdr:colOff>
      <xdr:row>4</xdr:row>
      <xdr:rowOff>65942</xdr:rowOff>
    </xdr:from>
    <xdr:to>
      <xdr:col>91</xdr:col>
      <xdr:colOff>58615</xdr:colOff>
      <xdr:row>4</xdr:row>
      <xdr:rowOff>65942</xdr:rowOff>
    </xdr:to>
    <xdr:cxnSp macro="">
      <xdr:nvCxnSpPr>
        <xdr:cNvPr id="150" name="Прямая со стрелкой 149">
          <a:extLst>
            <a:ext uri="{FF2B5EF4-FFF2-40B4-BE49-F238E27FC236}">
              <a16:creationId xmlns:a16="http://schemas.microsoft.com/office/drawing/2014/main" id="{6A768625-FA1F-4CF4-A127-F89B67D905C8}"/>
            </a:ext>
          </a:extLst>
        </xdr:cNvPr>
        <xdr:cNvCxnSpPr/>
      </xdr:nvCxnSpPr>
      <xdr:spPr>
        <a:xfrm flipH="1">
          <a:off x="13525500" y="564173"/>
          <a:ext cx="534865" cy="0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139213</xdr:colOff>
      <xdr:row>19</xdr:row>
      <xdr:rowOff>65942</xdr:rowOff>
    </xdr:from>
    <xdr:to>
      <xdr:col>89</xdr:col>
      <xdr:colOff>80596</xdr:colOff>
      <xdr:row>19</xdr:row>
      <xdr:rowOff>65942</xdr:rowOff>
    </xdr:to>
    <xdr:cxnSp macro="">
      <xdr:nvCxnSpPr>
        <xdr:cNvPr id="151" name="Прямая со стрелкой 150">
          <a:extLst>
            <a:ext uri="{FF2B5EF4-FFF2-40B4-BE49-F238E27FC236}">
              <a16:creationId xmlns:a16="http://schemas.microsoft.com/office/drawing/2014/main" id="{F903A9BB-DDD9-49FD-9E48-4E01D2991BC0}"/>
            </a:ext>
          </a:extLst>
        </xdr:cNvPr>
        <xdr:cNvCxnSpPr/>
      </xdr:nvCxnSpPr>
      <xdr:spPr>
        <a:xfrm flipH="1">
          <a:off x="13525501" y="2183423"/>
          <a:ext cx="249114" cy="0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139213</xdr:colOff>
      <xdr:row>46</xdr:row>
      <xdr:rowOff>43962</xdr:rowOff>
    </xdr:from>
    <xdr:to>
      <xdr:col>89</xdr:col>
      <xdr:colOff>80596</xdr:colOff>
      <xdr:row>46</xdr:row>
      <xdr:rowOff>43962</xdr:rowOff>
    </xdr:to>
    <xdr:cxnSp macro="">
      <xdr:nvCxnSpPr>
        <xdr:cNvPr id="153" name="Прямая со стрелкой 152">
          <a:extLst>
            <a:ext uri="{FF2B5EF4-FFF2-40B4-BE49-F238E27FC236}">
              <a16:creationId xmlns:a16="http://schemas.microsoft.com/office/drawing/2014/main" id="{528833DB-B4EE-4E8D-9016-A72FE6C7EC7E}"/>
            </a:ext>
          </a:extLst>
        </xdr:cNvPr>
        <xdr:cNvCxnSpPr/>
      </xdr:nvCxnSpPr>
      <xdr:spPr>
        <a:xfrm flipH="1">
          <a:off x="13525501" y="5275385"/>
          <a:ext cx="249114" cy="0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139213</xdr:colOff>
      <xdr:row>34</xdr:row>
      <xdr:rowOff>58615</xdr:rowOff>
    </xdr:from>
    <xdr:to>
      <xdr:col>89</xdr:col>
      <xdr:colOff>80596</xdr:colOff>
      <xdr:row>34</xdr:row>
      <xdr:rowOff>58615</xdr:rowOff>
    </xdr:to>
    <xdr:cxnSp macro="">
      <xdr:nvCxnSpPr>
        <xdr:cNvPr id="154" name="Прямая со стрелкой 153">
          <a:extLst>
            <a:ext uri="{FF2B5EF4-FFF2-40B4-BE49-F238E27FC236}">
              <a16:creationId xmlns:a16="http://schemas.microsoft.com/office/drawing/2014/main" id="{A0BDF2B2-1FCF-4646-8F92-EEE172D046B6}"/>
            </a:ext>
          </a:extLst>
        </xdr:cNvPr>
        <xdr:cNvCxnSpPr/>
      </xdr:nvCxnSpPr>
      <xdr:spPr>
        <a:xfrm flipH="1">
          <a:off x="13525501" y="3795346"/>
          <a:ext cx="249114" cy="0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66260</xdr:colOff>
      <xdr:row>31</xdr:row>
      <xdr:rowOff>95250</xdr:rowOff>
    </xdr:from>
    <xdr:to>
      <xdr:col>89</xdr:col>
      <xdr:colOff>87923</xdr:colOff>
      <xdr:row>32</xdr:row>
      <xdr:rowOff>16470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45C511A1-3E31-4DBC-9AEF-8875743F4C69}"/>
            </a:ext>
          </a:extLst>
        </xdr:cNvPr>
        <xdr:cNvCxnSpPr/>
      </xdr:nvCxnSpPr>
      <xdr:spPr>
        <a:xfrm flipV="1">
          <a:off x="1408043" y="3946663"/>
          <a:ext cx="11948619" cy="45459"/>
        </a:xfrm>
        <a:prstGeom prst="line">
          <a:avLst/>
        </a:prstGeom>
        <a:ln w="28575" cap="flat" cmpd="sng" algn="ctr">
          <a:solidFill>
            <a:schemeClr val="accent2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68192</xdr:colOff>
      <xdr:row>30</xdr:row>
      <xdr:rowOff>107674</xdr:rowOff>
    </xdr:from>
    <xdr:to>
      <xdr:col>31</xdr:col>
      <xdr:colOff>68192</xdr:colOff>
      <xdr:row>34</xdr:row>
      <xdr:rowOff>70158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EEE7EDDF-F304-4304-A8EA-DCD0610FE2F9}"/>
            </a:ext>
          </a:extLst>
        </xdr:cNvPr>
        <xdr:cNvCxnSpPr/>
      </xdr:nvCxnSpPr>
      <xdr:spPr>
        <a:xfrm flipV="1">
          <a:off x="4838019" y="3346174"/>
          <a:ext cx="0" cy="46071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65305</xdr:colOff>
      <xdr:row>32</xdr:row>
      <xdr:rowOff>77467</xdr:rowOff>
    </xdr:from>
    <xdr:to>
      <xdr:col>32</xdr:col>
      <xdr:colOff>65305</xdr:colOff>
      <xdr:row>34</xdr:row>
      <xdr:rowOff>69185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7FFF8624-F2DF-4271-8741-0176B9F9FD40}"/>
            </a:ext>
          </a:extLst>
        </xdr:cNvPr>
        <xdr:cNvCxnSpPr/>
      </xdr:nvCxnSpPr>
      <xdr:spPr>
        <a:xfrm>
          <a:off x="4988997" y="3565082"/>
          <a:ext cx="0" cy="240834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29307</xdr:colOff>
      <xdr:row>17</xdr:row>
      <xdr:rowOff>14655</xdr:rowOff>
    </xdr:from>
    <xdr:to>
      <xdr:col>81</xdr:col>
      <xdr:colOff>100263</xdr:colOff>
      <xdr:row>17</xdr:row>
      <xdr:rowOff>14655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D9211323-1171-45F4-BD2D-A49744944088}"/>
            </a:ext>
          </a:extLst>
        </xdr:cNvPr>
        <xdr:cNvCxnSpPr/>
      </xdr:nvCxnSpPr>
      <xdr:spPr>
        <a:xfrm>
          <a:off x="1834044" y="1894589"/>
          <a:ext cx="10448193" cy="0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51289</xdr:colOff>
      <xdr:row>16</xdr:row>
      <xdr:rowOff>0</xdr:rowOff>
    </xdr:from>
    <xdr:to>
      <xdr:col>22</xdr:col>
      <xdr:colOff>51289</xdr:colOff>
      <xdr:row>17</xdr:row>
      <xdr:rowOff>15040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388D7E8E-9BA1-4F3A-9DC0-E3F9746650B2}"/>
            </a:ext>
          </a:extLst>
        </xdr:cNvPr>
        <xdr:cNvCxnSpPr/>
      </xdr:nvCxnSpPr>
      <xdr:spPr>
        <a:xfrm flipV="1">
          <a:off x="3359973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26222</xdr:colOff>
      <xdr:row>16</xdr:row>
      <xdr:rowOff>0</xdr:rowOff>
    </xdr:from>
    <xdr:to>
      <xdr:col>32</xdr:col>
      <xdr:colOff>26222</xdr:colOff>
      <xdr:row>17</xdr:row>
      <xdr:rowOff>15040</xdr:rowOff>
    </xdr:to>
    <xdr:cxnSp macro="">
      <xdr:nvCxnSpPr>
        <xdr:cNvPr id="58" name="Прямая со стрелкой 57">
          <a:extLst>
            <a:ext uri="{FF2B5EF4-FFF2-40B4-BE49-F238E27FC236}">
              <a16:creationId xmlns:a16="http://schemas.microsoft.com/office/drawing/2014/main" id="{16E61772-9601-4AA5-ADE0-DE820ADA0F42}"/>
            </a:ext>
          </a:extLst>
        </xdr:cNvPr>
        <xdr:cNvCxnSpPr/>
      </xdr:nvCxnSpPr>
      <xdr:spPr>
        <a:xfrm flipV="1">
          <a:off x="4838854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56301</xdr:colOff>
      <xdr:row>16</xdr:row>
      <xdr:rowOff>0</xdr:rowOff>
    </xdr:from>
    <xdr:to>
      <xdr:col>42</xdr:col>
      <xdr:colOff>56301</xdr:colOff>
      <xdr:row>17</xdr:row>
      <xdr:rowOff>15040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5ACAE5FF-DE44-4789-B2D1-815A13369537}"/>
            </a:ext>
          </a:extLst>
        </xdr:cNvPr>
        <xdr:cNvCxnSpPr/>
      </xdr:nvCxnSpPr>
      <xdr:spPr>
        <a:xfrm flipV="1">
          <a:off x="6372880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51288</xdr:colOff>
      <xdr:row>16</xdr:row>
      <xdr:rowOff>0</xdr:rowOff>
    </xdr:from>
    <xdr:to>
      <xdr:col>52</xdr:col>
      <xdr:colOff>51288</xdr:colOff>
      <xdr:row>17</xdr:row>
      <xdr:rowOff>15040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5263BB78-CDD5-4447-8326-D51944660DC5}"/>
            </a:ext>
          </a:extLst>
        </xdr:cNvPr>
        <xdr:cNvCxnSpPr/>
      </xdr:nvCxnSpPr>
      <xdr:spPr>
        <a:xfrm flipV="1">
          <a:off x="7871814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62</xdr:col>
      <xdr:colOff>46274</xdr:colOff>
      <xdr:row>16</xdr:row>
      <xdr:rowOff>0</xdr:rowOff>
    </xdr:from>
    <xdr:to>
      <xdr:col>62</xdr:col>
      <xdr:colOff>46274</xdr:colOff>
      <xdr:row>17</xdr:row>
      <xdr:rowOff>15040</xdr:rowOff>
    </xdr:to>
    <xdr:cxnSp macro="">
      <xdr:nvCxnSpPr>
        <xdr:cNvPr id="61" name="Прямая со стрелкой 60">
          <a:extLst>
            <a:ext uri="{FF2B5EF4-FFF2-40B4-BE49-F238E27FC236}">
              <a16:creationId xmlns:a16="http://schemas.microsoft.com/office/drawing/2014/main" id="{7794AE6A-EB74-4655-8239-EE426FE77CFC}"/>
            </a:ext>
          </a:extLst>
        </xdr:cNvPr>
        <xdr:cNvCxnSpPr/>
      </xdr:nvCxnSpPr>
      <xdr:spPr>
        <a:xfrm flipV="1">
          <a:off x="9370748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72</xdr:col>
      <xdr:colOff>66327</xdr:colOff>
      <xdr:row>16</xdr:row>
      <xdr:rowOff>0</xdr:rowOff>
    </xdr:from>
    <xdr:to>
      <xdr:col>72</xdr:col>
      <xdr:colOff>66327</xdr:colOff>
      <xdr:row>17</xdr:row>
      <xdr:rowOff>15040</xdr:rowOff>
    </xdr:to>
    <xdr:cxnSp macro="">
      <xdr:nvCxnSpPr>
        <xdr:cNvPr id="63" name="Прямая со стрелкой 62">
          <a:extLst>
            <a:ext uri="{FF2B5EF4-FFF2-40B4-BE49-F238E27FC236}">
              <a16:creationId xmlns:a16="http://schemas.microsoft.com/office/drawing/2014/main" id="{17FABBB4-EC12-415E-B15B-9116EA83C6F2}"/>
            </a:ext>
          </a:extLst>
        </xdr:cNvPr>
        <xdr:cNvCxnSpPr/>
      </xdr:nvCxnSpPr>
      <xdr:spPr>
        <a:xfrm flipV="1">
          <a:off x="10894748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106432</xdr:colOff>
      <xdr:row>16</xdr:row>
      <xdr:rowOff>0</xdr:rowOff>
    </xdr:from>
    <xdr:to>
      <xdr:col>81</xdr:col>
      <xdr:colOff>106432</xdr:colOff>
      <xdr:row>17</xdr:row>
      <xdr:rowOff>15040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D57EE231-DB1C-4648-8068-8556D22A6360}"/>
            </a:ext>
          </a:extLst>
        </xdr:cNvPr>
        <xdr:cNvCxnSpPr/>
      </xdr:nvCxnSpPr>
      <xdr:spPr>
        <a:xfrm flipV="1">
          <a:off x="12288406" y="1754605"/>
          <a:ext cx="0" cy="140369"/>
        </a:xfrm>
        <a:prstGeom prst="straightConnector1">
          <a:avLst/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20052</xdr:colOff>
      <xdr:row>17</xdr:row>
      <xdr:rowOff>10027</xdr:rowOff>
    </xdr:from>
    <xdr:to>
      <xdr:col>12</xdr:col>
      <xdr:colOff>20052</xdr:colOff>
      <xdr:row>19</xdr:row>
      <xdr:rowOff>70184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AD36EC4F-889C-4D97-BB1A-08262B3AFEB1}"/>
            </a:ext>
          </a:extLst>
        </xdr:cNvPr>
        <xdr:cNvCxnSpPr/>
      </xdr:nvCxnSpPr>
      <xdr:spPr>
        <a:xfrm>
          <a:off x="1824789" y="1889961"/>
          <a:ext cx="0" cy="310815"/>
        </a:xfrm>
        <a:prstGeom prst="lin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136198</xdr:colOff>
      <xdr:row>19</xdr:row>
      <xdr:rowOff>54629</xdr:rowOff>
    </xdr:from>
    <xdr:to>
      <xdr:col>9</xdr:col>
      <xdr:colOff>73488</xdr:colOff>
      <xdr:row>19</xdr:row>
      <xdr:rowOff>54629</xdr:rowOff>
    </xdr:to>
    <xdr:cxnSp macro="">
      <xdr:nvCxnSpPr>
        <xdr:cNvPr id="68" name="Прямая со стрелкой 67">
          <a:extLst>
            <a:ext uri="{FF2B5EF4-FFF2-40B4-BE49-F238E27FC236}">
              <a16:creationId xmlns:a16="http://schemas.microsoft.com/office/drawing/2014/main" id="{4FB8756B-8A3E-4A73-BE3C-3DFA7DD126A2}"/>
            </a:ext>
          </a:extLst>
        </xdr:cNvPr>
        <xdr:cNvCxnSpPr/>
      </xdr:nvCxnSpPr>
      <xdr:spPr>
        <a:xfrm rot="5400000">
          <a:off x="1324043" y="2312113"/>
          <a:ext cx="0" cy="242090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59685</xdr:colOff>
      <xdr:row>15</xdr:row>
      <xdr:rowOff>7742</xdr:rowOff>
    </xdr:from>
    <xdr:to>
      <xdr:col>11</xdr:col>
      <xdr:colOff>1706</xdr:colOff>
      <xdr:row>15</xdr:row>
      <xdr:rowOff>7742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3186D46D-706E-4B89-A0C0-F5E21942B847}"/>
            </a:ext>
          </a:extLst>
        </xdr:cNvPr>
        <xdr:cNvCxnSpPr/>
      </xdr:nvCxnSpPr>
      <xdr:spPr>
        <a:xfrm rot="5400000" flipV="1">
          <a:off x="1521566" y="1751231"/>
          <a:ext cx="0" cy="240195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129722</xdr:colOff>
      <xdr:row>15</xdr:row>
      <xdr:rowOff>3208</xdr:rowOff>
    </xdr:from>
    <xdr:to>
      <xdr:col>9</xdr:col>
      <xdr:colOff>67010</xdr:colOff>
      <xdr:row>15</xdr:row>
      <xdr:rowOff>3208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5655CE36-233F-4ECA-B45D-BDC06E7D3734}"/>
            </a:ext>
          </a:extLst>
        </xdr:cNvPr>
        <xdr:cNvCxnSpPr/>
      </xdr:nvCxnSpPr>
      <xdr:spPr>
        <a:xfrm rot="16200000" flipV="1">
          <a:off x="1317566" y="1759950"/>
          <a:ext cx="0" cy="242088"/>
        </a:xfrm>
        <a:prstGeom prst="straightConnector1">
          <a:avLst/>
        </a:prstGeom>
        <a:ln w="28575">
          <a:prstDash val="sysDash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57978</xdr:colOff>
      <xdr:row>15</xdr:row>
      <xdr:rowOff>5443</xdr:rowOff>
    </xdr:from>
    <xdr:to>
      <xdr:col>9</xdr:col>
      <xdr:colOff>57978</xdr:colOff>
      <xdr:row>32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C8606E7F-E266-4FC5-967E-3491C56477F2}"/>
            </a:ext>
          </a:extLst>
        </xdr:cNvPr>
        <xdr:cNvCxnSpPr/>
      </xdr:nvCxnSpPr>
      <xdr:spPr>
        <a:xfrm flipV="1">
          <a:off x="1429578" y="1883229"/>
          <a:ext cx="0" cy="2122714"/>
        </a:xfrm>
        <a:prstGeom prst="line">
          <a:avLst/>
        </a:prstGeom>
        <a:ln w="28575" cap="flat" cmpd="sng" algn="ctr">
          <a:solidFill>
            <a:schemeClr val="accent2"/>
          </a:solidFill>
          <a:prstDash val="sys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AF8D1-5E38-40E2-B47A-088411EA5BBB}">
  <sheetPr codeName="Лист1"/>
  <dimension ref="A1:F3"/>
  <sheetViews>
    <sheetView workbookViewId="0"/>
  </sheetViews>
  <sheetFormatPr defaultRowHeight="15" x14ac:dyDescent="0.25"/>
  <cols>
    <col min="1" max="1" width="3.140625" customWidth="1"/>
    <col min="2" max="2" width="13" customWidth="1"/>
    <col min="3" max="3" width="16" customWidth="1"/>
    <col min="4" max="4" width="13.140625" customWidth="1"/>
    <col min="5" max="5" width="9.5703125" customWidth="1"/>
  </cols>
  <sheetData>
    <row r="1" spans="1:6" x14ac:dyDescent="0.25">
      <c r="A1" s="16" t="s">
        <v>60</v>
      </c>
      <c r="B1" s="19" t="s">
        <v>61</v>
      </c>
      <c r="C1" s="19" t="s">
        <v>62</v>
      </c>
      <c r="D1" s="19" t="s">
        <v>89</v>
      </c>
      <c r="E1" s="21" t="s">
        <v>178</v>
      </c>
    </row>
    <row r="2" spans="1:6" x14ac:dyDescent="0.25">
      <c r="A2" s="19">
        <v>1</v>
      </c>
      <c r="B2" s="19" t="s">
        <v>83</v>
      </c>
      <c r="C2" s="19" t="s">
        <v>85</v>
      </c>
      <c r="D2" s="19" t="s">
        <v>90</v>
      </c>
      <c r="E2" s="19" t="s">
        <v>87</v>
      </c>
      <c r="F2" s="14"/>
    </row>
    <row r="3" spans="1:6" x14ac:dyDescent="0.25">
      <c r="A3" s="19">
        <v>2</v>
      </c>
      <c r="B3" s="19" t="s">
        <v>84</v>
      </c>
      <c r="C3" s="19" t="s">
        <v>86</v>
      </c>
      <c r="D3" s="19" t="s">
        <v>90</v>
      </c>
      <c r="E3" s="19" t="s">
        <v>88</v>
      </c>
    </row>
  </sheetData>
  <hyperlinks>
    <hyperlink ref="E1" location="Project!A1" display="Project_instance" xr:uid="{A35111A5-3044-40D2-BA54-C90F5AB90E31}"/>
    <hyperlink ref="A1" location="Список!A1" display="id" xr:uid="{48809E28-40EA-4AD2-981E-BBCD7B87FEE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BBF5A-F19E-42B1-B632-7C080C6EBF33}">
  <sheetPr codeName="Лист2"/>
  <dimension ref="A1:J10"/>
  <sheetViews>
    <sheetView workbookViewId="0"/>
  </sheetViews>
  <sheetFormatPr defaultRowHeight="12" customHeight="1" x14ac:dyDescent="0.25"/>
  <cols>
    <col min="1" max="1" width="2.7109375" bestFit="1" customWidth="1"/>
    <col min="2" max="2" width="13.7109375" customWidth="1"/>
    <col min="3" max="3" width="35.7109375" customWidth="1"/>
    <col min="4" max="4" width="4.42578125" customWidth="1"/>
    <col min="5" max="5" width="6.7109375" customWidth="1"/>
    <col min="6" max="6" width="7.85546875" customWidth="1"/>
    <col min="7" max="7" width="8.28515625" customWidth="1"/>
    <col min="8" max="8" width="6.85546875" customWidth="1"/>
    <col min="9" max="9" width="8" customWidth="1"/>
    <col min="10" max="10" width="8.140625" customWidth="1"/>
  </cols>
  <sheetData>
    <row r="1" spans="1:10" ht="12" customHeight="1" x14ac:dyDescent="0.25">
      <c r="A1" s="16" t="s">
        <v>60</v>
      </c>
      <c r="B1" s="19" t="s">
        <v>63</v>
      </c>
      <c r="C1" s="19" t="s">
        <v>64</v>
      </c>
      <c r="D1" s="16" t="s">
        <v>186</v>
      </c>
      <c r="E1" s="16" t="s">
        <v>185</v>
      </c>
      <c r="F1" s="16" t="s">
        <v>184</v>
      </c>
      <c r="G1" s="16" t="s">
        <v>183</v>
      </c>
      <c r="H1" s="16" t="s">
        <v>182</v>
      </c>
      <c r="I1" s="16" t="s">
        <v>181</v>
      </c>
      <c r="J1" s="16" t="s">
        <v>208</v>
      </c>
    </row>
    <row r="2" spans="1:10" ht="12" customHeight="1" x14ac:dyDescent="0.25">
      <c r="A2" s="19">
        <v>1</v>
      </c>
      <c r="B2" s="19" t="s">
        <v>65</v>
      </c>
      <c r="C2" s="20" t="s">
        <v>70</v>
      </c>
      <c r="D2" s="19">
        <v>1</v>
      </c>
      <c r="E2" s="19">
        <v>1</v>
      </c>
      <c r="F2" s="19">
        <v>1</v>
      </c>
      <c r="G2" s="19">
        <v>1</v>
      </c>
      <c r="H2" s="19">
        <v>1</v>
      </c>
      <c r="I2" s="19">
        <v>1</v>
      </c>
      <c r="J2" s="19"/>
    </row>
    <row r="3" spans="1:10" ht="12" customHeight="1" x14ac:dyDescent="0.25">
      <c r="A3" s="19">
        <v>2</v>
      </c>
      <c r="B3" s="19" t="s">
        <v>66</v>
      </c>
      <c r="C3" s="20" t="s">
        <v>71</v>
      </c>
      <c r="D3" s="19">
        <v>2</v>
      </c>
      <c r="E3" s="19">
        <v>2</v>
      </c>
      <c r="F3" s="19">
        <v>2</v>
      </c>
      <c r="G3" s="19">
        <v>2</v>
      </c>
      <c r="H3" s="19">
        <v>2</v>
      </c>
      <c r="I3" s="19">
        <v>2</v>
      </c>
      <c r="J3" s="19"/>
    </row>
    <row r="4" spans="1:10" ht="12" customHeight="1" x14ac:dyDescent="0.25">
      <c r="A4" s="19">
        <v>3</v>
      </c>
      <c r="B4" s="19" t="s">
        <v>67</v>
      </c>
      <c r="C4" s="20" t="s">
        <v>72</v>
      </c>
      <c r="D4" s="19">
        <v>3</v>
      </c>
      <c r="E4" s="19">
        <v>3</v>
      </c>
      <c r="F4" s="19">
        <v>3</v>
      </c>
      <c r="G4" s="19">
        <v>3</v>
      </c>
      <c r="H4" s="19">
        <v>3</v>
      </c>
      <c r="I4" s="19">
        <v>3</v>
      </c>
      <c r="J4" s="19"/>
    </row>
    <row r="5" spans="1:10" ht="12" customHeight="1" x14ac:dyDescent="0.25">
      <c r="A5" s="19">
        <v>4</v>
      </c>
      <c r="B5" s="19" t="s">
        <v>68</v>
      </c>
      <c r="C5" s="20" t="s">
        <v>76</v>
      </c>
      <c r="D5" s="19">
        <v>4</v>
      </c>
      <c r="E5" s="19">
        <v>4</v>
      </c>
      <c r="F5" s="19">
        <v>4</v>
      </c>
      <c r="G5" s="19">
        <v>4</v>
      </c>
      <c r="H5" s="19">
        <v>4</v>
      </c>
      <c r="I5" s="19">
        <v>4</v>
      </c>
      <c r="J5" s="19"/>
    </row>
    <row r="6" spans="1:10" ht="12" customHeight="1" x14ac:dyDescent="0.25">
      <c r="A6" s="19">
        <v>5</v>
      </c>
      <c r="B6" s="19" t="s">
        <v>69</v>
      </c>
      <c r="C6" s="20" t="s">
        <v>73</v>
      </c>
      <c r="D6" s="19">
        <v>5</v>
      </c>
      <c r="E6" s="19">
        <v>5</v>
      </c>
      <c r="F6" s="19">
        <v>5</v>
      </c>
      <c r="G6" s="19">
        <v>5</v>
      </c>
      <c r="H6" s="19">
        <v>5</v>
      </c>
      <c r="I6" s="19">
        <v>5</v>
      </c>
      <c r="J6" s="19"/>
    </row>
    <row r="7" spans="1:10" ht="12" customHeight="1" x14ac:dyDescent="0.25">
      <c r="A7" s="19">
        <v>6</v>
      </c>
      <c r="B7" s="19" t="s">
        <v>74</v>
      </c>
      <c r="C7" s="20" t="s">
        <v>75</v>
      </c>
      <c r="D7" s="19">
        <v>6</v>
      </c>
      <c r="E7" s="19">
        <v>6</v>
      </c>
      <c r="F7" s="19">
        <v>6</v>
      </c>
      <c r="G7" s="19">
        <v>6</v>
      </c>
      <c r="H7" s="19">
        <v>6</v>
      </c>
      <c r="I7" s="19">
        <v>6</v>
      </c>
      <c r="J7" s="19"/>
    </row>
    <row r="8" spans="1:10" ht="12" customHeight="1" x14ac:dyDescent="0.25">
      <c r="A8" s="19">
        <v>7</v>
      </c>
      <c r="B8" s="19" t="s">
        <v>77</v>
      </c>
      <c r="C8" s="20" t="s">
        <v>80</v>
      </c>
      <c r="D8" s="19">
        <v>7</v>
      </c>
      <c r="E8" s="19">
        <v>7</v>
      </c>
      <c r="F8" s="19">
        <v>7</v>
      </c>
      <c r="G8" s="19">
        <v>7</v>
      </c>
      <c r="H8" s="19">
        <v>7</v>
      </c>
      <c r="I8" s="19">
        <v>7</v>
      </c>
      <c r="J8" s="19"/>
    </row>
    <row r="9" spans="1:10" ht="12" customHeight="1" x14ac:dyDescent="0.25">
      <c r="A9" s="19">
        <v>8</v>
      </c>
      <c r="B9" s="19" t="s">
        <v>78</v>
      </c>
      <c r="C9" s="20" t="s">
        <v>81</v>
      </c>
      <c r="D9" s="19">
        <v>8</v>
      </c>
      <c r="E9" s="19">
        <v>8</v>
      </c>
      <c r="F9" s="19">
        <v>8</v>
      </c>
      <c r="G9" s="19">
        <v>8</v>
      </c>
      <c r="H9" s="19">
        <v>8</v>
      </c>
      <c r="I9" s="19">
        <v>8</v>
      </c>
      <c r="J9" s="19"/>
    </row>
    <row r="10" spans="1:10" ht="12" customHeight="1" x14ac:dyDescent="0.25">
      <c r="A10" s="19">
        <v>9</v>
      </c>
      <c r="B10" s="19" t="s">
        <v>79</v>
      </c>
      <c r="C10" s="20" t="s">
        <v>82</v>
      </c>
      <c r="D10" s="19">
        <v>9</v>
      </c>
      <c r="E10" s="19">
        <v>9</v>
      </c>
      <c r="F10" s="19">
        <v>9</v>
      </c>
      <c r="G10" s="19">
        <v>9</v>
      </c>
      <c r="H10" s="19">
        <v>9</v>
      </c>
      <c r="I10" s="19">
        <v>9</v>
      </c>
      <c r="J10" s="19"/>
    </row>
  </sheetData>
  <hyperlinks>
    <hyperlink ref="D1" location="Spec!A1" display="Spec_instance" xr:uid="{2FBB4D33-763F-4AED-B7EC-1B0494DE3D5A}"/>
    <hyperlink ref="A1" location="Список!A1" display="id" xr:uid="{97E378BA-7D8B-410C-B134-676CEB16CE17}"/>
    <hyperlink ref="E1" location="DocList!A1" display="DocList_instance" xr:uid="{2A7AC2F9-D24D-4983-A55A-F2888CF9C58C}"/>
    <hyperlink ref="F1" location="WorkList!A1" display="WorkList_instance" xr:uid="{3942FC36-6D05-4377-9A0F-C11483D78F01}"/>
    <hyperlink ref="G1" location="EquipList!A1" display="EquipList_instance" xr:uid="{BB82220A-1BD3-41C1-B230-A215C48BA3FE}"/>
    <hyperlink ref="H1" location="MatList!A1" display="MatList_instance" xr:uid="{7247D738-5514-455E-8FA7-B491B56EB302}"/>
    <hyperlink ref="I1" location="CableList!A1" display="CableList_instance" xr:uid="{0C8E879A-BE4D-4676-9CBD-85CA2C1BF98F}"/>
    <hyperlink ref="J1" location="Object!A1" display="__Object" xr:uid="{44A13736-A4EE-4BCC-A07D-80213F45686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463F-7047-4E53-BC06-7F754A30ABB5}">
  <sheetPr codeName="Лист3"/>
  <dimension ref="A1:F10"/>
  <sheetViews>
    <sheetView workbookViewId="0"/>
  </sheetViews>
  <sheetFormatPr defaultRowHeight="12" customHeight="1" x14ac:dyDescent="0.25"/>
  <cols>
    <col min="1" max="1" width="2.7109375" bestFit="1" customWidth="1"/>
    <col min="2" max="2" width="13.140625" bestFit="1" customWidth="1"/>
    <col min="3" max="3" width="31.5703125" bestFit="1" customWidth="1"/>
    <col min="4" max="4" width="20" bestFit="1" customWidth="1"/>
    <col min="5" max="5" width="15.28515625" bestFit="1" customWidth="1"/>
    <col min="6" max="6" width="5.28515625" bestFit="1" customWidth="1"/>
  </cols>
  <sheetData>
    <row r="1" spans="1:6" ht="12" customHeight="1" x14ac:dyDescent="0.25">
      <c r="A1" s="56" t="s">
        <v>60</v>
      </c>
      <c r="B1" s="57" t="s">
        <v>91</v>
      </c>
      <c r="C1" s="57" t="s">
        <v>92</v>
      </c>
      <c r="D1" s="62" t="s">
        <v>177</v>
      </c>
      <c r="E1" s="50" t="s">
        <v>133</v>
      </c>
      <c r="F1" s="16" t="s">
        <v>208</v>
      </c>
    </row>
    <row r="2" spans="1:6" ht="12" customHeight="1" x14ac:dyDescent="0.25">
      <c r="A2" s="19">
        <v>1</v>
      </c>
      <c r="B2" s="19" t="s">
        <v>438</v>
      </c>
      <c r="C2" s="17" t="s">
        <v>439</v>
      </c>
      <c r="D2" s="19" t="s">
        <v>168</v>
      </c>
      <c r="E2" s="19">
        <v>5</v>
      </c>
      <c r="F2" s="19"/>
    </row>
    <row r="3" spans="1:6" ht="12" customHeight="1" x14ac:dyDescent="0.25">
      <c r="A3" s="19">
        <v>2</v>
      </c>
      <c r="B3" s="19" t="s">
        <v>440</v>
      </c>
      <c r="C3" s="17" t="s">
        <v>441</v>
      </c>
      <c r="D3" s="19" t="s">
        <v>169</v>
      </c>
      <c r="E3" s="19">
        <v>5</v>
      </c>
      <c r="F3" s="19"/>
    </row>
    <row r="4" spans="1:6" ht="12" customHeight="1" x14ac:dyDescent="0.25">
      <c r="A4" s="19">
        <v>3</v>
      </c>
      <c r="B4" s="19" t="s">
        <v>442</v>
      </c>
      <c r="C4" s="17" t="s">
        <v>443</v>
      </c>
      <c r="D4" s="19" t="s">
        <v>170</v>
      </c>
      <c r="E4" s="19">
        <v>5</v>
      </c>
      <c r="F4" s="19"/>
    </row>
    <row r="5" spans="1:6" ht="12" customHeight="1" x14ac:dyDescent="0.25">
      <c r="A5" s="19">
        <v>4</v>
      </c>
      <c r="B5" s="19" t="s">
        <v>444</v>
      </c>
      <c r="C5" s="17" t="s">
        <v>445</v>
      </c>
      <c r="D5" s="19" t="s">
        <v>171</v>
      </c>
      <c r="E5" s="19">
        <v>5</v>
      </c>
      <c r="F5" s="19"/>
    </row>
    <row r="6" spans="1:6" ht="12" customHeight="1" x14ac:dyDescent="0.25">
      <c r="A6" s="19">
        <v>5</v>
      </c>
      <c r="B6" s="19" t="s">
        <v>446</v>
      </c>
      <c r="C6" s="17" t="s">
        <v>447</v>
      </c>
      <c r="D6" s="19" t="s">
        <v>172</v>
      </c>
      <c r="E6" s="19">
        <v>5</v>
      </c>
      <c r="F6" s="19"/>
    </row>
    <row r="7" spans="1:6" ht="12" customHeight="1" x14ac:dyDescent="0.25">
      <c r="A7" s="19">
        <v>6</v>
      </c>
      <c r="B7" s="19" t="s">
        <v>448</v>
      </c>
      <c r="C7" s="17" t="s">
        <v>449</v>
      </c>
      <c r="D7" s="19" t="s">
        <v>173</v>
      </c>
      <c r="E7" s="19">
        <v>5</v>
      </c>
      <c r="F7" s="19"/>
    </row>
    <row r="8" spans="1:6" ht="12" customHeight="1" x14ac:dyDescent="0.25">
      <c r="A8" s="19">
        <v>7</v>
      </c>
      <c r="B8" s="19" t="s">
        <v>450</v>
      </c>
      <c r="C8" s="17" t="s">
        <v>451</v>
      </c>
      <c r="D8" s="19" t="s">
        <v>174</v>
      </c>
      <c r="E8" s="19">
        <v>5</v>
      </c>
      <c r="F8" s="19"/>
    </row>
    <row r="9" spans="1:6" ht="12" customHeight="1" x14ac:dyDescent="0.25">
      <c r="A9" s="19">
        <v>8</v>
      </c>
      <c r="B9" s="19" t="s">
        <v>452</v>
      </c>
      <c r="C9" s="17" t="s">
        <v>453</v>
      </c>
      <c r="D9" s="19" t="s">
        <v>175</v>
      </c>
      <c r="E9" s="19">
        <v>5</v>
      </c>
      <c r="F9" s="19"/>
    </row>
    <row r="10" spans="1:6" ht="12" customHeight="1" x14ac:dyDescent="0.25">
      <c r="A10" s="19">
        <v>9</v>
      </c>
      <c r="B10" s="19" t="s">
        <v>454</v>
      </c>
      <c r="C10" s="17" t="s">
        <v>455</v>
      </c>
      <c r="D10" s="19" t="s">
        <v>176</v>
      </c>
      <c r="E10" s="19">
        <v>5</v>
      </c>
      <c r="F10" s="19"/>
    </row>
  </sheetData>
  <phoneticPr fontId="4" type="noConversion"/>
  <hyperlinks>
    <hyperlink ref="A1" location="Список!A1" display="id" xr:uid="{15E7C194-45A0-4EE5-AA90-376597734C01}"/>
    <hyperlink ref="D1" location="DocListRecord!A1" display="DocListRecord_instance" xr:uid="{4356E562-9721-4CB0-9C1B-955909ED03C3}"/>
    <hyperlink ref="F1" location="Object!A1" display="__Object" xr:uid="{33283ECB-5766-429C-84E9-38051FC2FFB7}"/>
    <hyperlink ref="E1" location="DocType!A1" display="DocType" xr:uid="{2479C002-73FC-4DF9-A0FD-5E39E53F3D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1C435-B812-4B6B-AC9B-3D7D90304FF8}">
  <sheetPr codeName="Лист4"/>
  <dimension ref="A1:H19"/>
  <sheetViews>
    <sheetView workbookViewId="0"/>
  </sheetViews>
  <sheetFormatPr defaultRowHeight="12" customHeight="1" x14ac:dyDescent="0.25"/>
  <cols>
    <col min="1" max="1" width="3" bestFit="1" customWidth="1"/>
    <col min="2" max="2" width="6.28515625" customWidth="1"/>
    <col min="3" max="3" width="15.85546875" customWidth="1"/>
    <col min="4" max="4" width="28.7109375" bestFit="1" customWidth="1"/>
    <col min="5" max="5" width="11.28515625" bestFit="1" customWidth="1"/>
    <col min="6" max="6" width="11.140625" bestFit="1" customWidth="1"/>
    <col min="7" max="7" width="15.140625" bestFit="1" customWidth="1"/>
    <col min="8" max="8" width="5.28515625" bestFit="1" customWidth="1"/>
  </cols>
  <sheetData>
    <row r="1" spans="1:8" ht="12" customHeight="1" x14ac:dyDescent="0.25">
      <c r="A1" s="16" t="s">
        <v>60</v>
      </c>
      <c r="B1" s="28" t="s">
        <v>140</v>
      </c>
      <c r="C1" s="22" t="s">
        <v>93</v>
      </c>
      <c r="D1" s="19" t="s">
        <v>94</v>
      </c>
      <c r="E1" s="22" t="s">
        <v>95</v>
      </c>
      <c r="F1" s="22" t="s">
        <v>132</v>
      </c>
      <c r="G1" s="22" t="s">
        <v>136</v>
      </c>
      <c r="H1" s="21" t="s">
        <v>208</v>
      </c>
    </row>
    <row r="2" spans="1:8" ht="12" customHeight="1" x14ac:dyDescent="0.25">
      <c r="A2" s="30">
        <v>1</v>
      </c>
      <c r="B2" s="30">
        <v>1</v>
      </c>
      <c r="C2" s="30" t="s">
        <v>96</v>
      </c>
      <c r="D2" s="30" t="s">
        <v>114</v>
      </c>
      <c r="E2" s="36">
        <v>2</v>
      </c>
      <c r="F2" s="37">
        <v>0</v>
      </c>
      <c r="G2" s="37" t="s">
        <v>135</v>
      </c>
      <c r="H2" s="22"/>
    </row>
    <row r="3" spans="1:8" ht="12" customHeight="1" x14ac:dyDescent="0.25">
      <c r="A3" s="30">
        <v>2</v>
      </c>
      <c r="B3" s="30">
        <v>2</v>
      </c>
      <c r="C3" s="30" t="s">
        <v>97</v>
      </c>
      <c r="D3" s="30" t="s">
        <v>115</v>
      </c>
      <c r="E3" s="36">
        <v>4</v>
      </c>
      <c r="F3" s="30">
        <v>0</v>
      </c>
      <c r="G3" s="37" t="s">
        <v>138</v>
      </c>
      <c r="H3" s="22"/>
    </row>
    <row r="4" spans="1:8" ht="12" customHeight="1" x14ac:dyDescent="0.25">
      <c r="A4" s="30">
        <v>3</v>
      </c>
      <c r="B4" s="30">
        <v>1</v>
      </c>
      <c r="C4" s="30" t="s">
        <v>98</v>
      </c>
      <c r="D4" s="30" t="s">
        <v>116</v>
      </c>
      <c r="E4" s="36">
        <v>1</v>
      </c>
      <c r="F4" s="37" t="s">
        <v>134</v>
      </c>
      <c r="G4" s="37" t="s">
        <v>139</v>
      </c>
      <c r="H4" s="22"/>
    </row>
    <row r="5" spans="1:8" ht="12" customHeight="1" x14ac:dyDescent="0.25">
      <c r="A5" s="30">
        <v>4</v>
      </c>
      <c r="B5" s="30">
        <v>2</v>
      </c>
      <c r="C5" s="30" t="s">
        <v>99</v>
      </c>
      <c r="D5" s="30" t="s">
        <v>117</v>
      </c>
      <c r="E5" s="36">
        <v>2</v>
      </c>
      <c r="F5" s="37" t="s">
        <v>137</v>
      </c>
      <c r="G5" s="37" t="s">
        <v>135</v>
      </c>
      <c r="H5" s="22"/>
    </row>
    <row r="6" spans="1:8" ht="12" customHeight="1" x14ac:dyDescent="0.25">
      <c r="A6" s="30">
        <v>5</v>
      </c>
      <c r="B6" s="30">
        <v>1</v>
      </c>
      <c r="C6" s="30" t="s">
        <v>100</v>
      </c>
      <c r="D6" s="30" t="s">
        <v>118</v>
      </c>
      <c r="E6" s="36">
        <v>2</v>
      </c>
      <c r="F6" s="37">
        <v>0</v>
      </c>
      <c r="G6" s="37" t="s">
        <v>138</v>
      </c>
      <c r="H6" s="22"/>
    </row>
    <row r="7" spans="1:8" ht="12" customHeight="1" x14ac:dyDescent="0.25">
      <c r="A7" s="30">
        <v>6</v>
      </c>
      <c r="B7" s="30">
        <v>2</v>
      </c>
      <c r="C7" s="30" t="s">
        <v>101</v>
      </c>
      <c r="D7" s="30" t="s">
        <v>119</v>
      </c>
      <c r="E7" s="36">
        <v>4</v>
      </c>
      <c r="F7" s="30">
        <v>0</v>
      </c>
      <c r="G7" s="37" t="s">
        <v>139</v>
      </c>
      <c r="H7" s="22"/>
    </row>
    <row r="8" spans="1:8" ht="12" customHeight="1" x14ac:dyDescent="0.25">
      <c r="A8" s="30">
        <v>7</v>
      </c>
      <c r="B8" s="30">
        <v>1</v>
      </c>
      <c r="C8" s="30" t="s">
        <v>102</v>
      </c>
      <c r="D8" s="30" t="s">
        <v>120</v>
      </c>
      <c r="E8" s="36">
        <v>1</v>
      </c>
      <c r="F8" s="37" t="s">
        <v>134</v>
      </c>
      <c r="G8" s="37" t="s">
        <v>135</v>
      </c>
      <c r="H8" s="22"/>
    </row>
    <row r="9" spans="1:8" ht="12" customHeight="1" x14ac:dyDescent="0.25">
      <c r="A9" s="30">
        <v>8</v>
      </c>
      <c r="B9" s="30">
        <v>2</v>
      </c>
      <c r="C9" s="30" t="s">
        <v>103</v>
      </c>
      <c r="D9" s="30" t="s">
        <v>121</v>
      </c>
      <c r="E9" s="36">
        <v>2</v>
      </c>
      <c r="F9" s="37" t="s">
        <v>137</v>
      </c>
      <c r="G9" s="37" t="s">
        <v>138</v>
      </c>
      <c r="H9" s="22"/>
    </row>
    <row r="10" spans="1:8" ht="12" customHeight="1" x14ac:dyDescent="0.25">
      <c r="A10" s="30">
        <v>9</v>
      </c>
      <c r="B10" s="30">
        <v>1</v>
      </c>
      <c r="C10" s="30" t="s">
        <v>104</v>
      </c>
      <c r="D10" s="30" t="s">
        <v>122</v>
      </c>
      <c r="E10" s="36">
        <v>2</v>
      </c>
      <c r="F10" s="37">
        <v>0</v>
      </c>
      <c r="G10" s="37" t="s">
        <v>139</v>
      </c>
      <c r="H10" s="22"/>
    </row>
    <row r="11" spans="1:8" ht="12" customHeight="1" x14ac:dyDescent="0.25">
      <c r="A11" s="30">
        <v>10</v>
      </c>
      <c r="B11" s="30">
        <v>2</v>
      </c>
      <c r="C11" s="30" t="s">
        <v>105</v>
      </c>
      <c r="D11" s="30" t="s">
        <v>123</v>
      </c>
      <c r="E11" s="36">
        <v>4</v>
      </c>
      <c r="F11" s="30">
        <v>0</v>
      </c>
      <c r="G11" s="37" t="s">
        <v>135</v>
      </c>
      <c r="H11" s="22"/>
    </row>
    <row r="12" spans="1:8" ht="12" customHeight="1" x14ac:dyDescent="0.25">
      <c r="A12" s="30">
        <v>11</v>
      </c>
      <c r="B12" s="30">
        <v>1</v>
      </c>
      <c r="C12" s="30" t="s">
        <v>106</v>
      </c>
      <c r="D12" s="30" t="s">
        <v>124</v>
      </c>
      <c r="E12" s="36">
        <v>1</v>
      </c>
      <c r="F12" s="37" t="s">
        <v>134</v>
      </c>
      <c r="G12" s="37" t="s">
        <v>138</v>
      </c>
      <c r="H12" s="22"/>
    </row>
    <row r="13" spans="1:8" ht="12" customHeight="1" x14ac:dyDescent="0.25">
      <c r="A13" s="30">
        <v>12</v>
      </c>
      <c r="B13" s="30">
        <v>2</v>
      </c>
      <c r="C13" s="30" t="s">
        <v>107</v>
      </c>
      <c r="D13" s="30" t="s">
        <v>125</v>
      </c>
      <c r="E13" s="36">
        <v>2</v>
      </c>
      <c r="F13" s="37" t="s">
        <v>137</v>
      </c>
      <c r="G13" s="37" t="s">
        <v>139</v>
      </c>
      <c r="H13" s="22"/>
    </row>
    <row r="14" spans="1:8" ht="12" customHeight="1" x14ac:dyDescent="0.25">
      <c r="A14" s="30">
        <v>13</v>
      </c>
      <c r="B14" s="30">
        <v>1</v>
      </c>
      <c r="C14" s="30" t="s">
        <v>108</v>
      </c>
      <c r="D14" s="30" t="s">
        <v>126</v>
      </c>
      <c r="E14" s="36">
        <v>2</v>
      </c>
      <c r="F14" s="37">
        <v>0</v>
      </c>
      <c r="G14" s="37" t="s">
        <v>135</v>
      </c>
      <c r="H14" s="22"/>
    </row>
    <row r="15" spans="1:8" ht="12" customHeight="1" x14ac:dyDescent="0.25">
      <c r="A15" s="30">
        <v>14</v>
      </c>
      <c r="B15" s="30">
        <v>2</v>
      </c>
      <c r="C15" s="30" t="s">
        <v>109</v>
      </c>
      <c r="D15" s="30" t="s">
        <v>127</v>
      </c>
      <c r="E15" s="36">
        <v>4</v>
      </c>
      <c r="F15" s="30">
        <v>0</v>
      </c>
      <c r="G15" s="37" t="s">
        <v>138</v>
      </c>
      <c r="H15" s="22"/>
    </row>
    <row r="16" spans="1:8" ht="12" customHeight="1" x14ac:dyDescent="0.25">
      <c r="A16" s="30">
        <v>15</v>
      </c>
      <c r="B16" s="30">
        <v>1</v>
      </c>
      <c r="C16" s="30" t="s">
        <v>110</v>
      </c>
      <c r="D16" s="30" t="s">
        <v>128</v>
      </c>
      <c r="E16" s="36">
        <v>1</v>
      </c>
      <c r="F16" s="37" t="s">
        <v>134</v>
      </c>
      <c r="G16" s="37" t="s">
        <v>139</v>
      </c>
      <c r="H16" s="22"/>
    </row>
    <row r="17" spans="1:8" ht="12" customHeight="1" x14ac:dyDescent="0.25">
      <c r="A17" s="30">
        <v>16</v>
      </c>
      <c r="B17" s="30">
        <v>2</v>
      </c>
      <c r="C17" s="30" t="s">
        <v>111</v>
      </c>
      <c r="D17" s="30" t="s">
        <v>129</v>
      </c>
      <c r="E17" s="36">
        <v>2</v>
      </c>
      <c r="F17" s="37" t="s">
        <v>137</v>
      </c>
      <c r="G17" s="37" t="s">
        <v>135</v>
      </c>
      <c r="H17" s="22"/>
    </row>
    <row r="18" spans="1:8" ht="12" customHeight="1" x14ac:dyDescent="0.25">
      <c r="A18" s="30">
        <v>17</v>
      </c>
      <c r="B18" s="30">
        <v>1</v>
      </c>
      <c r="C18" s="30" t="s">
        <v>112</v>
      </c>
      <c r="D18" s="30" t="s">
        <v>130</v>
      </c>
      <c r="E18" s="36">
        <v>2</v>
      </c>
      <c r="F18" s="37">
        <v>0</v>
      </c>
      <c r="G18" s="37" t="s">
        <v>138</v>
      </c>
      <c r="H18" s="22"/>
    </row>
    <row r="19" spans="1:8" ht="12" customHeight="1" x14ac:dyDescent="0.25">
      <c r="A19" s="30">
        <v>18</v>
      </c>
      <c r="B19" s="30">
        <v>2</v>
      </c>
      <c r="C19" s="30" t="s">
        <v>113</v>
      </c>
      <c r="D19" s="30" t="s">
        <v>131</v>
      </c>
      <c r="E19" s="36">
        <v>4</v>
      </c>
      <c r="F19" s="30">
        <v>0</v>
      </c>
      <c r="G19" s="37" t="s">
        <v>139</v>
      </c>
      <c r="H19" s="22"/>
    </row>
  </sheetData>
  <phoneticPr fontId="4" type="noConversion"/>
  <hyperlinks>
    <hyperlink ref="A1" location="Список!A1" display="id" xr:uid="{6B499ADB-78FE-498C-9110-02DE292D74CC}"/>
    <hyperlink ref="H1" location="Object!A1" display="__Object" xr:uid="{189E3837-8389-429D-997B-1E9E452D371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5CED3-C9EA-472D-AE33-A5D5DC36B4CF}">
  <sheetPr codeName="Лист5"/>
  <dimension ref="A1:S38"/>
  <sheetViews>
    <sheetView workbookViewId="0">
      <selection activeCell="M6" sqref="M6"/>
    </sheetView>
  </sheetViews>
  <sheetFormatPr defaultRowHeight="12.75" x14ac:dyDescent="0.2"/>
  <cols>
    <col min="1" max="1" width="5" style="1" customWidth="1"/>
    <col min="2" max="2" width="8.42578125" style="1" customWidth="1"/>
    <col min="3" max="3" width="3" style="1" customWidth="1"/>
    <col min="4" max="4" width="6.7109375" style="4" customWidth="1"/>
    <col min="5" max="5" width="2.85546875" style="1" customWidth="1"/>
    <col min="6" max="6" width="9.5703125" style="1" customWidth="1"/>
    <col min="7" max="7" width="2.5703125" style="1" customWidth="1"/>
    <col min="8" max="8" width="11.85546875" style="1" bestFit="1" customWidth="1"/>
    <col min="9" max="9" width="3" style="1" customWidth="1"/>
    <col min="10" max="10" width="11.140625" style="1" bestFit="1" customWidth="1"/>
    <col min="11" max="11" width="8.5703125" style="1" customWidth="1"/>
    <col min="12" max="12" width="15.42578125" style="1" customWidth="1"/>
    <col min="13" max="13" width="21.42578125" style="1" customWidth="1"/>
    <col min="14" max="14" width="7.140625" style="1" customWidth="1"/>
    <col min="15" max="15" width="12.140625" style="1" customWidth="1"/>
    <col min="16" max="16" width="19.140625" style="1" customWidth="1"/>
    <col min="17" max="16384" width="9.140625" style="1"/>
  </cols>
  <sheetData>
    <row r="1" spans="1:19" ht="15" x14ac:dyDescent="0.25">
      <c r="A1" s="18" t="s">
        <v>60</v>
      </c>
      <c r="B1" s="33" t="s">
        <v>142</v>
      </c>
      <c r="C1" s="33" t="s">
        <v>143</v>
      </c>
      <c r="D1" s="34" t="s">
        <v>144</v>
      </c>
      <c r="E1" s="33" t="s">
        <v>146</v>
      </c>
      <c r="F1" s="33" t="s">
        <v>145</v>
      </c>
      <c r="G1" s="33" t="s">
        <v>147</v>
      </c>
      <c r="H1" s="33" t="s">
        <v>148</v>
      </c>
      <c r="I1" s="33" t="s">
        <v>149</v>
      </c>
      <c r="J1" s="33" t="s">
        <v>150</v>
      </c>
      <c r="K1" s="33" t="s">
        <v>165</v>
      </c>
      <c r="L1" s="35" t="s">
        <v>164</v>
      </c>
      <c r="M1" s="33" t="s">
        <v>179</v>
      </c>
      <c r="N1" s="33" t="s">
        <v>180</v>
      </c>
      <c r="O1" s="33" t="s">
        <v>151</v>
      </c>
      <c r="P1" s="5" t="s">
        <v>141</v>
      </c>
      <c r="Q1" s="5" t="s">
        <v>152</v>
      </c>
      <c r="R1" s="3" t="s">
        <v>153</v>
      </c>
      <c r="S1" s="13" t="s">
        <v>208</v>
      </c>
    </row>
    <row r="2" spans="1:19" x14ac:dyDescent="0.2">
      <c r="A2" s="19">
        <v>1</v>
      </c>
      <c r="B2" s="19" t="s">
        <v>41</v>
      </c>
      <c r="C2" s="19">
        <v>1</v>
      </c>
      <c r="D2" s="27" t="s">
        <v>0</v>
      </c>
      <c r="E2" s="19"/>
      <c r="F2" s="19"/>
      <c r="G2" s="19"/>
      <c r="H2" s="19"/>
      <c r="I2" s="19"/>
      <c r="J2" s="19"/>
      <c r="K2" s="19" t="s">
        <v>2</v>
      </c>
      <c r="L2" s="19">
        <f>VLOOKUP(K2,DocTypeType!$A$1:$C$4,2)</f>
        <v>2</v>
      </c>
      <c r="M2" s="22" t="s">
        <v>3</v>
      </c>
      <c r="N2" s="22" t="str">
        <f>_xlfn.TEXTJOIN(".",1,C2,E2,G2,I2)</f>
        <v>1</v>
      </c>
      <c r="O2" s="22" t="str">
        <f t="shared" ref="O2:O26" si="0">_xlfn.TEXTJOIN(".",1,B2,D2,F2,H2,J2)</f>
        <v>DocType.permissive</v>
      </c>
      <c r="P2" s="1" t="str">
        <f t="shared" ref="P2:P37" si="1">CONCATENATE($Q$1,"['",O2,"']=",B2,"(**{'",$N$1,"': '",N2,"', '",$K$1,"': ",$R$1,"['",K2,"'], '",$M$1,"': '",M2,"'})")</f>
        <v>__dt['DocType.permissive']=DocType(**{'doctype_number': '1', '__DocTypeType_instance': __dtt['category'], 'doctype_name': 'Разрешительная документация'})</v>
      </c>
    </row>
    <row r="3" spans="1:19" x14ac:dyDescent="0.2">
      <c r="A3" s="19">
        <v>2</v>
      </c>
      <c r="B3" s="19" t="s">
        <v>41</v>
      </c>
      <c r="C3" s="19">
        <v>2</v>
      </c>
      <c r="D3" s="27" t="s">
        <v>1</v>
      </c>
      <c r="E3" s="19"/>
      <c r="F3" s="19"/>
      <c r="G3" s="19"/>
      <c r="H3" s="19"/>
      <c r="I3" s="19"/>
      <c r="J3" s="19"/>
      <c r="K3" s="19" t="s">
        <v>2</v>
      </c>
      <c r="L3" s="19">
        <f>VLOOKUP(K3,DocTypeType!$A$1:$C$4,2)</f>
        <v>2</v>
      </c>
      <c r="M3" s="22" t="s">
        <v>5</v>
      </c>
      <c r="N3" s="22" t="str">
        <f t="shared" ref="N3:N26" si="2">_xlfn.TEXTJOIN(".",1,C3,E3,G3,I3)</f>
        <v>2</v>
      </c>
      <c r="O3" s="22" t="str">
        <f t="shared" si="0"/>
        <v>DocType.project</v>
      </c>
      <c r="P3" s="1" t="str">
        <f t="shared" si="1"/>
        <v>__dt['DocType.project']=DocType(**{'doctype_number': '2', '__DocTypeType_instance': __dtt['category'], 'doctype_name': 'Проектная документация'})</v>
      </c>
    </row>
    <row r="4" spans="1:19" x14ac:dyDescent="0.2">
      <c r="A4" s="19">
        <v>3</v>
      </c>
      <c r="B4" s="19" t="s">
        <v>41</v>
      </c>
      <c r="C4" s="19">
        <v>2</v>
      </c>
      <c r="D4" s="27" t="s">
        <v>1</v>
      </c>
      <c r="E4" s="19">
        <v>1</v>
      </c>
      <c r="F4" s="19" t="s">
        <v>13</v>
      </c>
      <c r="G4" s="19"/>
      <c r="H4" s="19"/>
      <c r="I4" s="19"/>
      <c r="J4" s="19"/>
      <c r="K4" s="19" t="s">
        <v>2</v>
      </c>
      <c r="L4" s="19">
        <f>VLOOKUP(K4,DocTypeType!$A$1:$C$4,2)</f>
        <v>2</v>
      </c>
      <c r="M4" s="22" t="s">
        <v>6</v>
      </c>
      <c r="N4" s="22" t="str">
        <f t="shared" si="2"/>
        <v>2.1</v>
      </c>
      <c r="O4" s="22" t="str">
        <f t="shared" si="0"/>
        <v>DocType.project.section</v>
      </c>
      <c r="P4" s="1" t="str">
        <f t="shared" si="1"/>
        <v>__dt['DocType.project.section']=DocType(**{'doctype_number': '2.1', '__DocTypeType_instance': __dtt['category'], 'doctype_name': 'Раздел проекта'})</v>
      </c>
    </row>
    <row r="5" spans="1:19" x14ac:dyDescent="0.2">
      <c r="A5" s="19">
        <v>4</v>
      </c>
      <c r="B5" s="19" t="s">
        <v>41</v>
      </c>
      <c r="C5" s="19">
        <v>2</v>
      </c>
      <c r="D5" s="27" t="s">
        <v>1</v>
      </c>
      <c r="E5" s="19">
        <v>1</v>
      </c>
      <c r="F5" s="19" t="s">
        <v>13</v>
      </c>
      <c r="G5" s="19">
        <v>1</v>
      </c>
      <c r="H5" s="41" t="s">
        <v>14</v>
      </c>
      <c r="I5" s="19"/>
      <c r="J5" s="19"/>
      <c r="K5" s="19" t="s">
        <v>2</v>
      </c>
      <c r="L5" s="19">
        <f>VLOOKUP(K5,DocTypeType!$A$1:$C$4,2)</f>
        <v>2</v>
      </c>
      <c r="M5" s="49" t="s">
        <v>7</v>
      </c>
      <c r="N5" s="22" t="str">
        <f t="shared" si="2"/>
        <v>2.1.1</v>
      </c>
      <c r="O5" s="22" t="str">
        <f t="shared" si="0"/>
        <v>DocType.project.section.doclist</v>
      </c>
      <c r="P5" s="1" t="str">
        <f t="shared" si="1"/>
        <v>__dt['DocType.project.section.doclist']=DocType(**{'doctype_number': '2.1.1', '__DocTypeType_instance': __dtt['category'], 'doctype_name': 'Ведомость документов'})</v>
      </c>
    </row>
    <row r="6" spans="1:19" x14ac:dyDescent="0.2">
      <c r="A6" s="19">
        <v>5</v>
      </c>
      <c r="B6" s="19" t="s">
        <v>41</v>
      </c>
      <c r="C6" s="19">
        <v>2</v>
      </c>
      <c r="D6" s="27" t="s">
        <v>1</v>
      </c>
      <c r="E6" s="19">
        <v>1</v>
      </c>
      <c r="F6" s="19" t="s">
        <v>13</v>
      </c>
      <c r="G6" s="19">
        <v>2</v>
      </c>
      <c r="H6" s="41" t="s">
        <v>167</v>
      </c>
      <c r="I6" s="19"/>
      <c r="J6" s="19"/>
      <c r="K6" s="19" t="s">
        <v>2</v>
      </c>
      <c r="L6" s="19">
        <f>VLOOKUP(K6,DocTypeType!$A$1:$C$4,2)</f>
        <v>2</v>
      </c>
      <c r="M6" s="49" t="s">
        <v>8</v>
      </c>
      <c r="N6" s="22" t="str">
        <f t="shared" si="2"/>
        <v>2.1.2</v>
      </c>
      <c r="O6" s="22" t="str">
        <f t="shared" si="0"/>
        <v>DocType.project.section.spec</v>
      </c>
      <c r="P6" s="1" t="str">
        <f t="shared" si="1"/>
        <v>__dt['DocType.project.section.spec']=DocType(**{'doctype_number': '2.1.2', '__DocTypeType_instance': __dtt['category'], 'doctype_name': 'Спецификация'})</v>
      </c>
    </row>
    <row r="7" spans="1:19" x14ac:dyDescent="0.2">
      <c r="A7" s="19">
        <v>6</v>
      </c>
      <c r="B7" s="19" t="s">
        <v>41</v>
      </c>
      <c r="C7" s="19">
        <v>2</v>
      </c>
      <c r="D7" s="27" t="s">
        <v>1</v>
      </c>
      <c r="E7" s="19">
        <v>1</v>
      </c>
      <c r="F7" s="19" t="s">
        <v>13</v>
      </c>
      <c r="G7" s="19">
        <v>3</v>
      </c>
      <c r="H7" s="41" t="s">
        <v>15</v>
      </c>
      <c r="I7" s="19"/>
      <c r="J7" s="19"/>
      <c r="K7" s="19" t="s">
        <v>2</v>
      </c>
      <c r="L7" s="19">
        <f>VLOOKUP(K7,DocTypeType!$A$1:$C$4,2)</f>
        <v>2</v>
      </c>
      <c r="M7" s="49" t="s">
        <v>9</v>
      </c>
      <c r="N7" s="22" t="str">
        <f t="shared" si="2"/>
        <v>2.1.3</v>
      </c>
      <c r="O7" s="22" t="str">
        <f t="shared" si="0"/>
        <v>DocType.project.section.cablejournal</v>
      </c>
      <c r="P7" s="1" t="str">
        <f t="shared" si="1"/>
        <v>__dt['DocType.project.section.cablejournal']=DocType(**{'doctype_number': '2.1.3', '__DocTypeType_instance': __dtt['category'], 'doctype_name': 'Кабельный журнал'})</v>
      </c>
    </row>
    <row r="8" spans="1:19" x14ac:dyDescent="0.2">
      <c r="A8" s="19">
        <v>7</v>
      </c>
      <c r="B8" s="19" t="s">
        <v>41</v>
      </c>
      <c r="C8" s="19">
        <v>2</v>
      </c>
      <c r="D8" s="27" t="s">
        <v>1</v>
      </c>
      <c r="E8" s="19">
        <v>1</v>
      </c>
      <c r="F8" s="19" t="s">
        <v>13</v>
      </c>
      <c r="G8" s="19">
        <v>4</v>
      </c>
      <c r="H8" s="41" t="s">
        <v>16</v>
      </c>
      <c r="I8" s="19"/>
      <c r="J8" s="19"/>
      <c r="K8" s="19" t="s">
        <v>2</v>
      </c>
      <c r="L8" s="19">
        <f>VLOOKUP(K8,DocTypeType!$A$1:$C$4,2)</f>
        <v>2</v>
      </c>
      <c r="M8" s="49" t="s">
        <v>10</v>
      </c>
      <c r="N8" s="22" t="str">
        <f t="shared" si="2"/>
        <v>2.1.4</v>
      </c>
      <c r="O8" s="22" t="str">
        <f t="shared" si="0"/>
        <v>DocType.project.section.equipmentlist</v>
      </c>
      <c r="P8" s="1" t="str">
        <f t="shared" si="1"/>
        <v>__dt['DocType.project.section.equipmentlist']=DocType(**{'doctype_number': '2.1.4', '__DocTypeType_instance': __dtt['category'], 'doctype_name': 'Ведомость оборудования'})</v>
      </c>
    </row>
    <row r="9" spans="1:19" x14ac:dyDescent="0.2">
      <c r="A9" s="19">
        <v>8</v>
      </c>
      <c r="B9" s="19" t="s">
        <v>41</v>
      </c>
      <c r="C9" s="19">
        <v>2</v>
      </c>
      <c r="D9" s="27" t="s">
        <v>1</v>
      </c>
      <c r="E9" s="19">
        <v>1</v>
      </c>
      <c r="F9" s="19" t="s">
        <v>13</v>
      </c>
      <c r="G9" s="19">
        <v>5</v>
      </c>
      <c r="H9" s="41" t="s">
        <v>17</v>
      </c>
      <c r="I9" s="19"/>
      <c r="J9" s="19"/>
      <c r="K9" s="19" t="s">
        <v>2</v>
      </c>
      <c r="L9" s="19">
        <f>VLOOKUP(K9,DocTypeType!$A$1:$C$4,2)</f>
        <v>2</v>
      </c>
      <c r="M9" s="49" t="s">
        <v>11</v>
      </c>
      <c r="N9" s="22" t="str">
        <f t="shared" si="2"/>
        <v>2.1.5</v>
      </c>
      <c r="O9" s="22" t="str">
        <f t="shared" si="0"/>
        <v>DocType.project.section.materiallist</v>
      </c>
      <c r="P9" s="1" t="str">
        <f t="shared" si="1"/>
        <v>__dt['DocType.project.section.materiallist']=DocType(**{'doctype_number': '2.1.5', '__DocTypeType_instance': __dtt['category'], 'doctype_name': 'Ведомость материалов'})</v>
      </c>
    </row>
    <row r="10" spans="1:19" x14ac:dyDescent="0.2">
      <c r="A10" s="19">
        <v>9</v>
      </c>
      <c r="B10" s="19" t="s">
        <v>41</v>
      </c>
      <c r="C10" s="19">
        <v>2</v>
      </c>
      <c r="D10" s="27" t="s">
        <v>1</v>
      </c>
      <c r="E10" s="19">
        <v>1</v>
      </c>
      <c r="F10" s="19" t="s">
        <v>13</v>
      </c>
      <c r="G10" s="19">
        <v>6</v>
      </c>
      <c r="H10" s="41" t="s">
        <v>18</v>
      </c>
      <c r="I10" s="19"/>
      <c r="J10" s="19"/>
      <c r="K10" s="19" t="s">
        <v>2</v>
      </c>
      <c r="L10" s="19">
        <f>VLOOKUP(K10,DocTypeType!$A$1:$C$4,2)</f>
        <v>2</v>
      </c>
      <c r="M10" s="49" t="s">
        <v>12</v>
      </c>
      <c r="N10" s="22" t="str">
        <f t="shared" si="2"/>
        <v>2.1.6</v>
      </c>
      <c r="O10" s="22" t="str">
        <f t="shared" si="0"/>
        <v>DocType.project.section.worklist</v>
      </c>
      <c r="P10" s="1" t="str">
        <f t="shared" si="1"/>
        <v>__dt['DocType.project.section.worklist']=DocType(**{'doctype_number': '2.1.6', '__DocTypeType_instance': __dtt['category'], 'doctype_name': 'Ведомость работ'})</v>
      </c>
    </row>
    <row r="11" spans="1:19" x14ac:dyDescent="0.2">
      <c r="A11" s="19">
        <v>10</v>
      </c>
      <c r="B11" s="19" t="s">
        <v>41</v>
      </c>
      <c r="C11" s="19">
        <v>3</v>
      </c>
      <c r="D11" s="27" t="s">
        <v>19</v>
      </c>
      <c r="E11" s="19"/>
      <c r="F11" s="19"/>
      <c r="G11" s="19"/>
      <c r="H11" s="19"/>
      <c r="I11" s="19"/>
      <c r="J11" s="19"/>
      <c r="K11" s="19" t="s">
        <v>2</v>
      </c>
      <c r="L11" s="19">
        <f>VLOOKUP(K11,DocTypeType!$A$1:$C$4,2)</f>
        <v>2</v>
      </c>
      <c r="M11" s="22" t="s">
        <v>30</v>
      </c>
      <c r="N11" s="22" t="str">
        <f t="shared" si="2"/>
        <v>3</v>
      </c>
      <c r="O11" s="22" t="str">
        <f t="shared" si="0"/>
        <v>DocType.asbuilt</v>
      </c>
      <c r="P11" s="1" t="str">
        <f t="shared" si="1"/>
        <v>__dt['DocType.asbuilt']=DocType(**{'doctype_number': '3', '__DocTypeType_instance': __dtt['category'], 'doctype_name': 'Исполнительная документация'})</v>
      </c>
    </row>
    <row r="12" spans="1:19" x14ac:dyDescent="0.2">
      <c r="A12" s="19">
        <v>11</v>
      </c>
      <c r="B12" s="19" t="s">
        <v>41</v>
      </c>
      <c r="C12" s="19">
        <v>3</v>
      </c>
      <c r="D12" s="27" t="s">
        <v>19</v>
      </c>
      <c r="E12" s="19">
        <v>1</v>
      </c>
      <c r="F12" s="19" t="s">
        <v>20</v>
      </c>
      <c r="G12" s="19"/>
      <c r="H12" s="19"/>
      <c r="I12" s="19"/>
      <c r="J12" s="19"/>
      <c r="K12" s="19" t="s">
        <v>2</v>
      </c>
      <c r="L12" s="19">
        <f>VLOOKUP(K12,DocTypeType!$A$1:$C$4,2)</f>
        <v>2</v>
      </c>
      <c r="M12" s="22" t="s">
        <v>27</v>
      </c>
      <c r="N12" s="22" t="str">
        <f t="shared" si="2"/>
        <v>3.1</v>
      </c>
      <c r="O12" s="22" t="str">
        <f t="shared" si="0"/>
        <v>DocType.asbuilt.acts</v>
      </c>
      <c r="P12" s="1" t="str">
        <f t="shared" si="1"/>
        <v>__dt['DocType.asbuilt.acts']=DocType(**{'doctype_number': '3.1', '__DocTypeType_instance': __dtt['category'], 'doctype_name': 'Акты'})</v>
      </c>
    </row>
    <row r="13" spans="1:19" x14ac:dyDescent="0.2">
      <c r="A13" s="19">
        <v>12</v>
      </c>
      <c r="B13" s="19" t="s">
        <v>41</v>
      </c>
      <c r="C13" s="19">
        <v>3</v>
      </c>
      <c r="D13" s="27" t="s">
        <v>19</v>
      </c>
      <c r="E13" s="19">
        <v>1</v>
      </c>
      <c r="F13" s="19" t="s">
        <v>20</v>
      </c>
      <c r="G13" s="19">
        <v>1</v>
      </c>
      <c r="H13" s="19" t="s">
        <v>21</v>
      </c>
      <c r="I13" s="19"/>
      <c r="J13" s="19"/>
      <c r="K13" s="19" t="s">
        <v>2</v>
      </c>
      <c r="L13" s="19">
        <f>VLOOKUP(K13,DocTypeType!$A$1:$C$4,2)</f>
        <v>2</v>
      </c>
      <c r="M13" s="22" t="s">
        <v>29</v>
      </c>
      <c r="N13" s="22" t="str">
        <f t="shared" si="2"/>
        <v>3.1.1</v>
      </c>
      <c r="O13" s="22" t="str">
        <f t="shared" si="0"/>
        <v>DocType.asbuilt.acts.quality</v>
      </c>
      <c r="P13" s="1" t="str">
        <f t="shared" si="1"/>
        <v>__dt['DocType.asbuilt.acts.quality']=DocType(**{'doctype_number': '3.1.1', '__DocTypeType_instance': __dtt['category'], 'doctype_name': 'Входной контроль'})</v>
      </c>
    </row>
    <row r="14" spans="1:19" x14ac:dyDescent="0.2">
      <c r="A14" s="19">
        <v>13</v>
      </c>
      <c r="B14" s="19" t="s">
        <v>41</v>
      </c>
      <c r="C14" s="19">
        <v>3</v>
      </c>
      <c r="D14" s="27" t="s">
        <v>19</v>
      </c>
      <c r="E14" s="19">
        <v>1</v>
      </c>
      <c r="F14" s="19" t="s">
        <v>20</v>
      </c>
      <c r="G14" s="19">
        <v>1</v>
      </c>
      <c r="H14" s="19" t="s">
        <v>21</v>
      </c>
      <c r="I14" s="19">
        <v>1</v>
      </c>
      <c r="J14" s="19" t="s">
        <v>24</v>
      </c>
      <c r="K14" s="19" t="s">
        <v>26</v>
      </c>
      <c r="L14" s="19">
        <f>VLOOKUP(K14,DocTypeType!$A$1:$C$4,2)</f>
        <v>3</v>
      </c>
      <c r="M14" s="22" t="s">
        <v>28</v>
      </c>
      <c r="N14" s="22" t="str">
        <f t="shared" si="2"/>
        <v>3.1.1.1</v>
      </c>
      <c r="O14" s="22" t="str">
        <f t="shared" si="0"/>
        <v>DocType.asbuilt.acts.quality.act</v>
      </c>
      <c r="P14" s="1" t="str">
        <f t="shared" si="1"/>
        <v>__dt['DocType.asbuilt.acts.quality.act']=DocType(**{'doctype_number': '3.1.1.1', '__DocTypeType_instance': __dtt['document'], 'doctype_name': 'Акт входного контроля'})</v>
      </c>
    </row>
    <row r="15" spans="1:19" x14ac:dyDescent="0.2">
      <c r="A15" s="19">
        <v>14</v>
      </c>
      <c r="B15" s="19" t="s">
        <v>41</v>
      </c>
      <c r="C15" s="19">
        <v>3</v>
      </c>
      <c r="D15" s="27" t="s">
        <v>19</v>
      </c>
      <c r="E15" s="19">
        <v>1</v>
      </c>
      <c r="F15" s="19" t="s">
        <v>20</v>
      </c>
      <c r="G15" s="19">
        <v>1</v>
      </c>
      <c r="H15" s="19" t="s">
        <v>21</v>
      </c>
      <c r="I15" s="19">
        <v>2</v>
      </c>
      <c r="J15" s="19" t="s">
        <v>25</v>
      </c>
      <c r="K15" s="19" t="s">
        <v>40</v>
      </c>
      <c r="L15" s="19">
        <f>VLOOKUP(K15,DocTypeType!$A$1:$C$4,2)</f>
        <v>1</v>
      </c>
      <c r="M15" s="22" t="s">
        <v>11</v>
      </c>
      <c r="N15" s="22" t="str">
        <f t="shared" si="2"/>
        <v>3.1.1.2</v>
      </c>
      <c r="O15" s="22" t="str">
        <f t="shared" si="0"/>
        <v>DocType.asbuilt.acts.quality.materials</v>
      </c>
      <c r="P15" s="1" t="str">
        <f t="shared" si="1"/>
        <v>__dt['DocType.asbuilt.acts.quality.materials']=DocType(**{'doctype_number': '3.1.1.2', '__DocTypeType_instance': __dtt['annexes'], 'doctype_name': 'Ведомость материалов'})</v>
      </c>
    </row>
    <row r="16" spans="1:19" x14ac:dyDescent="0.2">
      <c r="A16" s="19">
        <v>15</v>
      </c>
      <c r="B16" s="19" t="s">
        <v>41</v>
      </c>
      <c r="C16" s="19">
        <v>3</v>
      </c>
      <c r="D16" s="27" t="s">
        <v>19</v>
      </c>
      <c r="E16" s="19">
        <v>1</v>
      </c>
      <c r="F16" s="19" t="s">
        <v>20</v>
      </c>
      <c r="G16" s="19">
        <v>2</v>
      </c>
      <c r="H16" s="19" t="s">
        <v>22</v>
      </c>
      <c r="I16" s="19"/>
      <c r="J16" s="19"/>
      <c r="K16" s="19" t="s">
        <v>2</v>
      </c>
      <c r="L16" s="19">
        <f>VLOOKUP(K16,DocTypeType!$A$1:$C$4,2)</f>
        <v>2</v>
      </c>
      <c r="M16" s="22" t="s">
        <v>31</v>
      </c>
      <c r="N16" s="22" t="str">
        <f t="shared" si="2"/>
        <v>3.1.2</v>
      </c>
      <c r="O16" s="22" t="str">
        <f t="shared" si="0"/>
        <v>DocType.asbuilt.acts.hidden</v>
      </c>
      <c r="P16" s="1" t="str">
        <f t="shared" si="1"/>
        <v>__dt['DocType.asbuilt.acts.hidden']=DocType(**{'doctype_number': '3.1.2', '__DocTypeType_instance': __dtt['category'], 'doctype_name': 'Скрытые работы'})</v>
      </c>
    </row>
    <row r="17" spans="1:16" x14ac:dyDescent="0.2">
      <c r="A17" s="19">
        <v>16</v>
      </c>
      <c r="B17" s="19" t="s">
        <v>41</v>
      </c>
      <c r="C17" s="19">
        <v>3</v>
      </c>
      <c r="D17" s="27" t="s">
        <v>19</v>
      </c>
      <c r="E17" s="19">
        <v>1</v>
      </c>
      <c r="F17" s="19" t="s">
        <v>20</v>
      </c>
      <c r="G17" s="19">
        <v>2</v>
      </c>
      <c r="H17" s="19" t="s">
        <v>22</v>
      </c>
      <c r="I17" s="19">
        <v>1</v>
      </c>
      <c r="J17" s="19" t="s">
        <v>24</v>
      </c>
      <c r="K17" s="19" t="s">
        <v>26</v>
      </c>
      <c r="L17" s="19">
        <f>VLOOKUP(K17,DocTypeType!$A$1:$C$4,2)</f>
        <v>3</v>
      </c>
      <c r="M17" s="22" t="s">
        <v>32</v>
      </c>
      <c r="N17" s="22" t="str">
        <f t="shared" si="2"/>
        <v>3.1.2.1</v>
      </c>
      <c r="O17" s="22" t="str">
        <f t="shared" si="0"/>
        <v>DocType.asbuilt.acts.hidden.act</v>
      </c>
      <c r="P17" s="1" t="str">
        <f t="shared" si="1"/>
        <v>__dt['DocType.asbuilt.acts.hidden.act']=DocType(**{'doctype_number': '3.1.2.1', '__DocTypeType_instance': __dtt['document'], 'doctype_name': 'Акт освидетельствования скрытых работ'})</v>
      </c>
    </row>
    <row r="18" spans="1:16" x14ac:dyDescent="0.2">
      <c r="A18" s="19">
        <v>17</v>
      </c>
      <c r="B18" s="19" t="s">
        <v>41</v>
      </c>
      <c r="C18" s="19">
        <v>3</v>
      </c>
      <c r="D18" s="27" t="s">
        <v>19</v>
      </c>
      <c r="E18" s="19">
        <v>1</v>
      </c>
      <c r="F18" s="19" t="s">
        <v>20</v>
      </c>
      <c r="G18" s="19">
        <v>2</v>
      </c>
      <c r="H18" s="19" t="s">
        <v>22</v>
      </c>
      <c r="I18" s="19">
        <v>2</v>
      </c>
      <c r="J18" s="19" t="s">
        <v>25</v>
      </c>
      <c r="K18" s="19" t="s">
        <v>40</v>
      </c>
      <c r="L18" s="19">
        <f>VLOOKUP(K18,DocTypeType!$A$1:$C$4,2)</f>
        <v>1</v>
      </c>
      <c r="M18" s="22" t="s">
        <v>11</v>
      </c>
      <c r="N18" s="22" t="str">
        <f t="shared" si="2"/>
        <v>3.1.2.2</v>
      </c>
      <c r="O18" s="22" t="str">
        <f t="shared" si="0"/>
        <v>DocType.asbuilt.acts.hidden.materials</v>
      </c>
      <c r="P18" s="1" t="str">
        <f t="shared" si="1"/>
        <v>__dt['DocType.asbuilt.acts.hidden.materials']=DocType(**{'doctype_number': '3.1.2.2', '__DocTypeType_instance': __dtt['annexes'], 'doctype_name': 'Ведомость материалов'})</v>
      </c>
    </row>
    <row r="19" spans="1:16" x14ac:dyDescent="0.2">
      <c r="A19" s="19">
        <v>18</v>
      </c>
      <c r="B19" s="19" t="s">
        <v>41</v>
      </c>
      <c r="C19" s="19">
        <v>3</v>
      </c>
      <c r="D19" s="27" t="s">
        <v>19</v>
      </c>
      <c r="E19" s="19">
        <v>1</v>
      </c>
      <c r="F19" s="19" t="s">
        <v>20</v>
      </c>
      <c r="G19" s="19">
        <v>2</v>
      </c>
      <c r="H19" s="19" t="s">
        <v>22</v>
      </c>
      <c r="I19" s="19">
        <v>3</v>
      </c>
      <c r="J19" s="19" t="s">
        <v>35</v>
      </c>
      <c r="K19" s="19" t="s">
        <v>40</v>
      </c>
      <c r="L19" s="19">
        <f>VLOOKUP(K19,DocTypeType!$A$1:$C$4,2)</f>
        <v>1</v>
      </c>
      <c r="M19" s="22" t="s">
        <v>33</v>
      </c>
      <c r="N19" s="22" t="str">
        <f t="shared" si="2"/>
        <v>3.1.2.3</v>
      </c>
      <c r="O19" s="22" t="str">
        <f t="shared" si="0"/>
        <v>DocType.asbuilt.acts.hidden.qualitydocs</v>
      </c>
      <c r="P19" s="1" t="str">
        <f t="shared" si="1"/>
        <v>__dt['DocType.asbuilt.acts.hidden.qualitydocs']=DocType(**{'doctype_number': '3.1.2.3', '__DocTypeType_instance': __dtt['annexes'], 'doctype_name': 'Ведомость документов качества'})</v>
      </c>
    </row>
    <row r="20" spans="1:16" x14ac:dyDescent="0.2">
      <c r="A20" s="19">
        <v>19</v>
      </c>
      <c r="B20" s="19" t="s">
        <v>41</v>
      </c>
      <c r="C20" s="19">
        <v>3</v>
      </c>
      <c r="D20" s="27" t="s">
        <v>19</v>
      </c>
      <c r="E20" s="19">
        <v>1</v>
      </c>
      <c r="F20" s="19" t="s">
        <v>20</v>
      </c>
      <c r="G20" s="19">
        <v>2</v>
      </c>
      <c r="H20" s="19" t="s">
        <v>22</v>
      </c>
      <c r="I20" s="19">
        <v>4</v>
      </c>
      <c r="J20" s="19" t="s">
        <v>15</v>
      </c>
      <c r="K20" s="19" t="s">
        <v>40</v>
      </c>
      <c r="L20" s="19">
        <f>VLOOKUP(K20,DocTypeType!$A$1:$C$4,2)</f>
        <v>1</v>
      </c>
      <c r="M20" s="22" t="s">
        <v>9</v>
      </c>
      <c r="N20" s="22" t="str">
        <f t="shared" si="2"/>
        <v>3.1.2.4</v>
      </c>
      <c r="O20" s="22" t="str">
        <f t="shared" si="0"/>
        <v>DocType.asbuilt.acts.hidden.cablejournal</v>
      </c>
      <c r="P20" s="1" t="str">
        <f t="shared" si="1"/>
        <v>__dt['DocType.asbuilt.acts.hidden.cablejournal']=DocType(**{'doctype_number': '3.1.2.4', '__DocTypeType_instance': __dtt['annexes'], 'doctype_name': 'Кабельный журнал'})</v>
      </c>
    </row>
    <row r="21" spans="1:16" x14ac:dyDescent="0.2">
      <c r="A21" s="19">
        <v>20</v>
      </c>
      <c r="B21" s="19" t="s">
        <v>41</v>
      </c>
      <c r="C21" s="19">
        <v>3</v>
      </c>
      <c r="D21" s="27" t="s">
        <v>19</v>
      </c>
      <c r="E21" s="19">
        <v>1</v>
      </c>
      <c r="F21" s="19" t="s">
        <v>20</v>
      </c>
      <c r="G21" s="19">
        <v>2</v>
      </c>
      <c r="H21" s="19" t="s">
        <v>22</v>
      </c>
      <c r="I21" s="19">
        <v>5</v>
      </c>
      <c r="J21" s="19" t="s">
        <v>36</v>
      </c>
      <c r="K21" s="19" t="s">
        <v>40</v>
      </c>
      <c r="L21" s="19">
        <f>VLOOKUP(K21,DocTypeType!$A$1:$C$4,2)</f>
        <v>1</v>
      </c>
      <c r="M21" s="22" t="s">
        <v>34</v>
      </c>
      <c r="N21" s="22" t="str">
        <f t="shared" si="2"/>
        <v>3.1.2.5</v>
      </c>
      <c r="O21" s="22" t="str">
        <f t="shared" si="0"/>
        <v>DocType.asbuilt.acts.hidden.schemas</v>
      </c>
      <c r="P21" s="1" t="str">
        <f t="shared" si="1"/>
        <v>__dt['DocType.asbuilt.acts.hidden.schemas']=DocType(**{'doctype_number': '3.1.2.5', '__DocTypeType_instance': __dtt['annexes'], 'doctype_name': 'Исполнительная схема'})</v>
      </c>
    </row>
    <row r="22" spans="1:16" x14ac:dyDescent="0.2">
      <c r="A22" s="19">
        <v>21</v>
      </c>
      <c r="B22" s="19" t="s">
        <v>41</v>
      </c>
      <c r="C22" s="19">
        <v>3</v>
      </c>
      <c r="D22" s="27" t="s">
        <v>19</v>
      </c>
      <c r="E22" s="19">
        <v>1</v>
      </c>
      <c r="F22" s="19" t="s">
        <v>20</v>
      </c>
      <c r="G22" s="19">
        <v>3</v>
      </c>
      <c r="H22" s="19" t="s">
        <v>23</v>
      </c>
      <c r="I22" s="19"/>
      <c r="J22" s="19"/>
      <c r="K22" s="19" t="s">
        <v>2</v>
      </c>
      <c r="L22" s="19">
        <f>VLOOKUP(K22,DocTypeType!$A$1:$C$4,2)</f>
        <v>2</v>
      </c>
      <c r="M22" s="22" t="s">
        <v>37</v>
      </c>
      <c r="N22" s="22" t="str">
        <f t="shared" si="2"/>
        <v>3.1.3</v>
      </c>
      <c r="O22" s="22" t="str">
        <f t="shared" si="0"/>
        <v>DocType.asbuilt.acts.electric</v>
      </c>
      <c r="P22" s="1" t="str">
        <f t="shared" si="1"/>
        <v>__dt['DocType.asbuilt.acts.electric']=DocType(**{'doctype_number': '3.1.3', '__DocTypeType_instance': __dtt['category'], 'doctype_name': 'Электромонтажные работы'})</v>
      </c>
    </row>
    <row r="23" spans="1:16" x14ac:dyDescent="0.2">
      <c r="A23" s="19">
        <v>22</v>
      </c>
      <c r="B23" s="19" t="s">
        <v>41</v>
      </c>
      <c r="C23" s="19">
        <v>3</v>
      </c>
      <c r="D23" s="27" t="s">
        <v>19</v>
      </c>
      <c r="E23" s="19">
        <v>1</v>
      </c>
      <c r="F23" s="19" t="s">
        <v>20</v>
      </c>
      <c r="G23" s="19">
        <v>3</v>
      </c>
      <c r="H23" s="19" t="s">
        <v>23</v>
      </c>
      <c r="I23" s="19">
        <v>1</v>
      </c>
      <c r="J23" s="19" t="s">
        <v>24</v>
      </c>
      <c r="K23" s="19" t="s">
        <v>26</v>
      </c>
      <c r="L23" s="19">
        <f>VLOOKUP(K23,DocTypeType!$A$1:$C$4,2)</f>
        <v>3</v>
      </c>
      <c r="M23" s="22" t="s">
        <v>38</v>
      </c>
      <c r="N23" s="22" t="str">
        <f t="shared" si="2"/>
        <v>3.1.3.1</v>
      </c>
      <c r="O23" s="22" t="str">
        <f t="shared" si="0"/>
        <v>DocType.asbuilt.acts.electric.act</v>
      </c>
      <c r="P23" s="1" t="str">
        <f t="shared" si="1"/>
        <v>__dt['DocType.asbuilt.acts.electric.act']=DocType(**{'doctype_number': '3.1.3.1', '__DocTypeType_instance': __dtt['document'], 'doctype_name': 'Акт готовности электромонтажных работ'})</v>
      </c>
    </row>
    <row r="24" spans="1:16" x14ac:dyDescent="0.2">
      <c r="A24" s="19">
        <v>23</v>
      </c>
      <c r="B24" s="19" t="s">
        <v>41</v>
      </c>
      <c r="C24" s="19">
        <v>3</v>
      </c>
      <c r="D24" s="27" t="s">
        <v>19</v>
      </c>
      <c r="E24" s="19">
        <v>1</v>
      </c>
      <c r="F24" s="19" t="s">
        <v>20</v>
      </c>
      <c r="G24" s="19">
        <v>3</v>
      </c>
      <c r="H24" s="19" t="s">
        <v>23</v>
      </c>
      <c r="I24" s="19">
        <v>2</v>
      </c>
      <c r="J24" s="19" t="s">
        <v>39</v>
      </c>
      <c r="K24" s="19" t="s">
        <v>40</v>
      </c>
      <c r="L24" s="19">
        <f>VLOOKUP(K24,DocTypeType!$A$1:$C$4,2)</f>
        <v>1</v>
      </c>
      <c r="M24" s="22" t="s">
        <v>10</v>
      </c>
      <c r="N24" s="22" t="str">
        <f t="shared" si="2"/>
        <v>3.1.3.2</v>
      </c>
      <c r="O24" s="22" t="str">
        <f t="shared" si="0"/>
        <v>DocType.asbuilt.acts.electric.equipment</v>
      </c>
      <c r="P24" s="1" t="str">
        <f t="shared" si="1"/>
        <v>__dt['DocType.asbuilt.acts.electric.equipment']=DocType(**{'doctype_number': '3.1.3.2', '__DocTypeType_instance': __dtt['annexes'], 'doctype_name': 'Ведомость оборудования'})</v>
      </c>
    </row>
    <row r="25" spans="1:16" x14ac:dyDescent="0.2">
      <c r="A25" s="19">
        <v>24</v>
      </c>
      <c r="B25" s="19" t="s">
        <v>41</v>
      </c>
      <c r="C25" s="19">
        <v>3</v>
      </c>
      <c r="D25" s="27" t="s">
        <v>19</v>
      </c>
      <c r="E25" s="19">
        <v>1</v>
      </c>
      <c r="F25" s="19" t="s">
        <v>20</v>
      </c>
      <c r="G25" s="19">
        <v>3</v>
      </c>
      <c r="H25" s="19" t="s">
        <v>23</v>
      </c>
      <c r="I25" s="19">
        <v>3</v>
      </c>
      <c r="J25" s="19" t="s">
        <v>35</v>
      </c>
      <c r="K25" s="19" t="s">
        <v>40</v>
      </c>
      <c r="L25" s="19">
        <f>VLOOKUP(K25,DocTypeType!$A$1:$C$4,2)</f>
        <v>1</v>
      </c>
      <c r="M25" s="22" t="s">
        <v>33</v>
      </c>
      <c r="N25" s="22" t="str">
        <f t="shared" si="2"/>
        <v>3.1.3.3</v>
      </c>
      <c r="O25" s="22" t="str">
        <f t="shared" si="0"/>
        <v>DocType.asbuilt.acts.electric.qualitydocs</v>
      </c>
      <c r="P25" s="1" t="str">
        <f t="shared" si="1"/>
        <v>__dt['DocType.asbuilt.acts.electric.qualitydocs']=DocType(**{'doctype_number': '3.1.3.3', '__DocTypeType_instance': __dtt['annexes'], 'doctype_name': 'Ведомость документов качества'})</v>
      </c>
    </row>
    <row r="26" spans="1:16" x14ac:dyDescent="0.2">
      <c r="A26" s="19">
        <v>25</v>
      </c>
      <c r="B26" s="19" t="s">
        <v>41</v>
      </c>
      <c r="C26" s="19">
        <v>3</v>
      </c>
      <c r="D26" s="27" t="s">
        <v>19</v>
      </c>
      <c r="E26" s="19">
        <v>1</v>
      </c>
      <c r="F26" s="19" t="s">
        <v>20</v>
      </c>
      <c r="G26" s="19">
        <v>3</v>
      </c>
      <c r="H26" s="19" t="s">
        <v>23</v>
      </c>
      <c r="I26" s="19">
        <v>4</v>
      </c>
      <c r="J26" s="19" t="s">
        <v>36</v>
      </c>
      <c r="K26" s="19" t="s">
        <v>40</v>
      </c>
      <c r="L26" s="19">
        <f>VLOOKUP(K26,DocTypeType!$A$1:$C$4,2)</f>
        <v>1</v>
      </c>
      <c r="M26" s="22" t="s">
        <v>34</v>
      </c>
      <c r="N26" s="22" t="str">
        <f t="shared" si="2"/>
        <v>3.1.3.4</v>
      </c>
      <c r="O26" s="22" t="str">
        <f t="shared" si="0"/>
        <v>DocType.asbuilt.acts.electric.schemas</v>
      </c>
      <c r="P26" s="1" t="str">
        <f t="shared" si="1"/>
        <v>__dt['DocType.asbuilt.acts.electric.schemas']=DocType(**{'doctype_number': '3.1.3.4', '__DocTypeType_instance': __dtt['annexes'], 'doctype_name': 'Исполнительная схема'})</v>
      </c>
    </row>
    <row r="27" spans="1:16" x14ac:dyDescent="0.2">
      <c r="A27" s="19">
        <v>26</v>
      </c>
      <c r="B27" s="19" t="s">
        <v>41</v>
      </c>
      <c r="C27" s="19">
        <v>4</v>
      </c>
      <c r="D27" s="31" t="s">
        <v>53</v>
      </c>
      <c r="E27" s="22"/>
      <c r="F27" s="22"/>
      <c r="G27" s="22"/>
      <c r="H27" s="22"/>
      <c r="I27" s="22"/>
      <c r="J27" s="22"/>
      <c r="K27" s="19" t="s">
        <v>2</v>
      </c>
      <c r="L27" s="19">
        <f>VLOOKUP(K27,DocTypeType!$A$1:$C$4,2)</f>
        <v>2</v>
      </c>
      <c r="M27" s="22" t="s">
        <v>42</v>
      </c>
      <c r="N27" s="22" t="str">
        <f t="shared" ref="N27:N37" si="3">_xlfn.TEXTJOIN(".",1,C27,E27,G27,I27)</f>
        <v>4</v>
      </c>
      <c r="O27" s="22" t="str">
        <f t="shared" ref="O27:O37" si="4">_xlfn.TEXTJOIN(".",1,B27,D27,F27,H27,J27)</f>
        <v>DocType.receipt</v>
      </c>
      <c r="P27" s="1" t="str">
        <f t="shared" si="1"/>
        <v>__dt['DocType.receipt']=DocType(**{'doctype_number': '4', '__DocTypeType_instance': __dtt['category'], 'doctype_name': 'Поступление материалов'})</v>
      </c>
    </row>
    <row r="28" spans="1:16" x14ac:dyDescent="0.2">
      <c r="A28" s="19">
        <v>27</v>
      </c>
      <c r="B28" s="19" t="s">
        <v>41</v>
      </c>
      <c r="C28" s="19">
        <v>4</v>
      </c>
      <c r="D28" s="31" t="s">
        <v>53</v>
      </c>
      <c r="E28" s="22">
        <v>1</v>
      </c>
      <c r="F28" s="19" t="s">
        <v>54</v>
      </c>
      <c r="G28" s="19"/>
      <c r="H28" s="22"/>
      <c r="I28" s="22"/>
      <c r="J28" s="22"/>
      <c r="K28" s="19" t="s">
        <v>2</v>
      </c>
      <c r="L28" s="19">
        <f>VLOOKUP(K28,DocTypeType!$A$1:$C$4,2)</f>
        <v>2</v>
      </c>
      <c r="M28" s="22" t="s">
        <v>43</v>
      </c>
      <c r="N28" s="22" t="str">
        <f t="shared" si="3"/>
        <v>4.1</v>
      </c>
      <c r="O28" s="22" t="str">
        <f t="shared" si="4"/>
        <v>DocType.receipt.docs</v>
      </c>
      <c r="P28" s="1" t="str">
        <f t="shared" si="1"/>
        <v>__dt['DocType.receipt.docs']=DocType(**{'doctype_number': '4.1', '__DocTypeType_instance': __dtt['category'], 'doctype_name': 'Приходные документы'})</v>
      </c>
    </row>
    <row r="29" spans="1:16" x14ac:dyDescent="0.2">
      <c r="A29" s="19">
        <v>28</v>
      </c>
      <c r="B29" s="19" t="s">
        <v>41</v>
      </c>
      <c r="C29" s="19">
        <v>4</v>
      </c>
      <c r="D29" s="31" t="s">
        <v>53</v>
      </c>
      <c r="E29" s="22">
        <v>1</v>
      </c>
      <c r="F29" s="19" t="s">
        <v>54</v>
      </c>
      <c r="G29" s="19">
        <v>1</v>
      </c>
      <c r="H29" s="22"/>
      <c r="I29" s="22"/>
      <c r="J29" s="22"/>
      <c r="K29" s="19" t="s">
        <v>26</v>
      </c>
      <c r="L29" s="19">
        <f>VLOOKUP(K29,DocTypeType!$A$1:$C$4,2)</f>
        <v>3</v>
      </c>
      <c r="M29" s="22" t="s">
        <v>44</v>
      </c>
      <c r="N29" s="22" t="str">
        <f t="shared" si="3"/>
        <v>4.1.1</v>
      </c>
      <c r="O29" s="22" t="str">
        <f t="shared" si="4"/>
        <v>DocType.receipt.docs</v>
      </c>
      <c r="P29" s="1" t="str">
        <f t="shared" si="1"/>
        <v>__dt['DocType.receipt.docs']=DocType(**{'doctype_number': '4.1.1', '__DocTypeType_instance': __dtt['document'], 'doctype_name': 'Накладная'})</v>
      </c>
    </row>
    <row r="30" spans="1:16" x14ac:dyDescent="0.2">
      <c r="A30" s="19">
        <v>29</v>
      </c>
      <c r="B30" s="19" t="s">
        <v>41</v>
      </c>
      <c r="C30" s="19">
        <v>4</v>
      </c>
      <c r="D30" s="31" t="s">
        <v>53</v>
      </c>
      <c r="E30" s="22">
        <v>1</v>
      </c>
      <c r="F30" s="19" t="s">
        <v>54</v>
      </c>
      <c r="G30" s="19">
        <v>2</v>
      </c>
      <c r="H30" s="22"/>
      <c r="I30" s="22"/>
      <c r="J30" s="22"/>
      <c r="K30" s="19" t="s">
        <v>26</v>
      </c>
      <c r="L30" s="19">
        <f>VLOOKUP(K30,DocTypeType!$A$1:$C$4,2)</f>
        <v>3</v>
      </c>
      <c r="M30" s="22" t="s">
        <v>45</v>
      </c>
      <c r="N30" s="22" t="str">
        <f t="shared" si="3"/>
        <v>4.1.2</v>
      </c>
      <c r="O30" s="22" t="str">
        <f t="shared" si="4"/>
        <v>DocType.receipt.docs</v>
      </c>
      <c r="P30" s="1" t="str">
        <f t="shared" si="1"/>
        <v>__dt['DocType.receipt.docs']=DocType(**{'doctype_number': '4.1.2', '__DocTypeType_instance': __dtt['document'], 'doctype_name': 'Счет-фактура'})</v>
      </c>
    </row>
    <row r="31" spans="1:16" x14ac:dyDescent="0.2">
      <c r="A31" s="19">
        <v>30</v>
      </c>
      <c r="B31" s="19" t="s">
        <v>41</v>
      </c>
      <c r="C31" s="19">
        <v>4</v>
      </c>
      <c r="D31" s="31" t="s">
        <v>53</v>
      </c>
      <c r="E31" s="22">
        <v>1</v>
      </c>
      <c r="F31" s="19" t="s">
        <v>54</v>
      </c>
      <c r="G31" s="19">
        <v>3</v>
      </c>
      <c r="H31" s="22"/>
      <c r="I31" s="22"/>
      <c r="J31" s="22"/>
      <c r="K31" s="19" t="s">
        <v>26</v>
      </c>
      <c r="L31" s="19">
        <f>VLOOKUP(K31,DocTypeType!$A$1:$C$4,2)</f>
        <v>3</v>
      </c>
      <c r="M31" s="22" t="s">
        <v>46</v>
      </c>
      <c r="N31" s="22" t="str">
        <f t="shared" si="3"/>
        <v>4.1.3</v>
      </c>
      <c r="O31" s="22" t="str">
        <f t="shared" si="4"/>
        <v>DocType.receipt.docs</v>
      </c>
      <c r="P31" s="1" t="str">
        <f t="shared" si="1"/>
        <v>__dt['DocType.receipt.docs']=DocType(**{'doctype_number': '4.1.3', '__DocTypeType_instance': __dtt['document'], 'doctype_name': 'Счет'})</v>
      </c>
    </row>
    <row r="32" spans="1:16" x14ac:dyDescent="0.2">
      <c r="A32" s="19">
        <v>31</v>
      </c>
      <c r="B32" s="19" t="s">
        <v>41</v>
      </c>
      <c r="C32" s="19">
        <v>4</v>
      </c>
      <c r="D32" s="31" t="s">
        <v>53</v>
      </c>
      <c r="E32" s="22">
        <v>2</v>
      </c>
      <c r="F32" s="19" t="s">
        <v>35</v>
      </c>
      <c r="G32" s="19"/>
      <c r="H32" s="22"/>
      <c r="I32" s="22"/>
      <c r="J32" s="22"/>
      <c r="K32" s="19" t="s">
        <v>2</v>
      </c>
      <c r="L32" s="19">
        <f>VLOOKUP(K32,DocTypeType!$A$1:$C$4,2)</f>
        <v>2</v>
      </c>
      <c r="M32" s="22" t="s">
        <v>47</v>
      </c>
      <c r="N32" s="22" t="str">
        <f t="shared" si="3"/>
        <v>4.2</v>
      </c>
      <c r="O32" s="22" t="str">
        <f t="shared" si="4"/>
        <v>DocType.receipt.qualitydocs</v>
      </c>
      <c r="P32" s="1" t="str">
        <f t="shared" si="1"/>
        <v>__dt['DocType.receipt.qualitydocs']=DocType(**{'doctype_number': '4.2', '__DocTypeType_instance': __dtt['category'], 'doctype_name': 'Документы качества'})</v>
      </c>
    </row>
    <row r="33" spans="1:16" x14ac:dyDescent="0.2">
      <c r="A33" s="19">
        <v>32</v>
      </c>
      <c r="B33" s="19" t="s">
        <v>41</v>
      </c>
      <c r="C33" s="19">
        <v>4</v>
      </c>
      <c r="D33" s="31" t="s">
        <v>53</v>
      </c>
      <c r="E33" s="22">
        <v>2</v>
      </c>
      <c r="F33" s="19" t="s">
        <v>35</v>
      </c>
      <c r="G33" s="19">
        <v>1</v>
      </c>
      <c r="H33" s="22"/>
      <c r="I33" s="22"/>
      <c r="J33" s="22"/>
      <c r="K33" s="19" t="s">
        <v>40</v>
      </c>
      <c r="L33" s="19">
        <f>VLOOKUP(K33,DocTypeType!$A$1:$C$4,2)</f>
        <v>1</v>
      </c>
      <c r="M33" s="22" t="s">
        <v>48</v>
      </c>
      <c r="N33" s="22" t="str">
        <f t="shared" si="3"/>
        <v>4.2.1</v>
      </c>
      <c r="O33" s="22" t="str">
        <f t="shared" si="4"/>
        <v>DocType.receipt.qualitydocs</v>
      </c>
      <c r="P33" s="1" t="str">
        <f t="shared" si="1"/>
        <v>__dt['DocType.receipt.qualitydocs']=DocType(**{'doctype_number': '4.2.1', '__DocTypeType_instance': __dtt['annexes'], 'doctype_name': 'Сертификат соответствия'})</v>
      </c>
    </row>
    <row r="34" spans="1:16" x14ac:dyDescent="0.2">
      <c r="A34" s="19">
        <v>33</v>
      </c>
      <c r="B34" s="19" t="s">
        <v>41</v>
      </c>
      <c r="C34" s="19">
        <v>4</v>
      </c>
      <c r="D34" s="31" t="s">
        <v>53</v>
      </c>
      <c r="E34" s="22">
        <v>2</v>
      </c>
      <c r="F34" s="19" t="s">
        <v>35</v>
      </c>
      <c r="G34" s="19">
        <v>2</v>
      </c>
      <c r="H34" s="22"/>
      <c r="I34" s="22"/>
      <c r="J34" s="22"/>
      <c r="K34" s="19" t="s">
        <v>40</v>
      </c>
      <c r="L34" s="19">
        <f>VLOOKUP(K34,DocTypeType!$A$1:$C$4,2)</f>
        <v>1</v>
      </c>
      <c r="M34" s="22" t="s">
        <v>49</v>
      </c>
      <c r="N34" s="22" t="str">
        <f t="shared" si="3"/>
        <v>4.2.2</v>
      </c>
      <c r="O34" s="22" t="str">
        <f t="shared" si="4"/>
        <v>DocType.receipt.qualitydocs</v>
      </c>
      <c r="P34" s="1" t="str">
        <f t="shared" si="1"/>
        <v>__dt['DocType.receipt.qualitydocs']=DocType(**{'doctype_number': '4.2.2', '__DocTypeType_instance': __dtt['annexes'], 'doctype_name': 'Паспорт качества'})</v>
      </c>
    </row>
    <row r="35" spans="1:16" x14ac:dyDescent="0.2">
      <c r="A35" s="19">
        <v>34</v>
      </c>
      <c r="B35" s="19" t="s">
        <v>41</v>
      </c>
      <c r="C35" s="19">
        <v>4</v>
      </c>
      <c r="D35" s="31" t="s">
        <v>53</v>
      </c>
      <c r="E35" s="22">
        <v>2</v>
      </c>
      <c r="F35" s="19" t="s">
        <v>35</v>
      </c>
      <c r="G35" s="19">
        <v>3</v>
      </c>
      <c r="H35" s="22"/>
      <c r="I35" s="22"/>
      <c r="J35" s="22"/>
      <c r="K35" s="19" t="s">
        <v>40</v>
      </c>
      <c r="L35" s="19">
        <f>VLOOKUP(K35,DocTypeType!$A$1:$C$4,2)</f>
        <v>1</v>
      </c>
      <c r="M35" s="22" t="s">
        <v>50</v>
      </c>
      <c r="N35" s="22" t="str">
        <f t="shared" si="3"/>
        <v>4.2.3</v>
      </c>
      <c r="O35" s="22" t="str">
        <f t="shared" si="4"/>
        <v>DocType.receipt.qualitydocs</v>
      </c>
      <c r="P35" s="1" t="str">
        <f t="shared" si="1"/>
        <v>__dt['DocType.receipt.qualitydocs']=DocType(**{'doctype_number': '4.2.3', '__DocTypeType_instance': __dtt['annexes'], 'doctype_name': 'Пожарный сертификат'})</v>
      </c>
    </row>
    <row r="36" spans="1:16" x14ac:dyDescent="0.2">
      <c r="A36" s="19">
        <v>35</v>
      </c>
      <c r="B36" s="19" t="s">
        <v>41</v>
      </c>
      <c r="C36" s="19">
        <v>4</v>
      </c>
      <c r="D36" s="31" t="s">
        <v>53</v>
      </c>
      <c r="E36" s="22">
        <v>2</v>
      </c>
      <c r="F36" s="19" t="s">
        <v>35</v>
      </c>
      <c r="G36" s="19">
        <v>4</v>
      </c>
      <c r="H36" s="22"/>
      <c r="I36" s="22"/>
      <c r="J36" s="22"/>
      <c r="K36" s="19" t="s">
        <v>40</v>
      </c>
      <c r="L36" s="19">
        <f>VLOOKUP(K36,DocTypeType!$A$1:$C$4,2)</f>
        <v>1</v>
      </c>
      <c r="M36" s="22" t="s">
        <v>51</v>
      </c>
      <c r="N36" s="22" t="str">
        <f t="shared" si="3"/>
        <v>4.2.4</v>
      </c>
      <c r="O36" s="22" t="str">
        <f t="shared" si="4"/>
        <v>DocType.receipt.qualitydocs</v>
      </c>
      <c r="P36" s="1" t="str">
        <f t="shared" si="1"/>
        <v>__dt['DocType.receipt.qualitydocs']=DocType(**{'doctype_number': '4.2.4', '__DocTypeType_instance': __dtt['annexes'], 'doctype_name': 'Сертификат СЭЗ'})</v>
      </c>
    </row>
    <row r="37" spans="1:16" x14ac:dyDescent="0.2">
      <c r="A37" s="19">
        <v>36</v>
      </c>
      <c r="B37" s="19" t="s">
        <v>41</v>
      </c>
      <c r="C37" s="19">
        <v>4</v>
      </c>
      <c r="D37" s="31" t="s">
        <v>53</v>
      </c>
      <c r="E37" s="22">
        <v>2</v>
      </c>
      <c r="F37" s="19" t="s">
        <v>35</v>
      </c>
      <c r="G37" s="19">
        <v>5</v>
      </c>
      <c r="H37" s="22"/>
      <c r="I37" s="22"/>
      <c r="J37" s="22"/>
      <c r="K37" s="19" t="s">
        <v>40</v>
      </c>
      <c r="L37" s="19">
        <f>VLOOKUP(K37,DocTypeType!$A$1:$C$4,2)</f>
        <v>1</v>
      </c>
      <c r="M37" s="22" t="s">
        <v>52</v>
      </c>
      <c r="N37" s="22" t="str">
        <f t="shared" si="3"/>
        <v>4.2.5</v>
      </c>
      <c r="O37" s="22" t="str">
        <f t="shared" si="4"/>
        <v>DocType.receipt.qualitydocs</v>
      </c>
      <c r="P37" s="1" t="str">
        <f t="shared" si="1"/>
        <v>__dt['DocType.receipt.qualitydocs']=DocType(**{'doctype_number': '4.2.5', '__DocTypeType_instance': __dtt['annexes'], 'doctype_name': 'Технический паспорт'})</v>
      </c>
    </row>
    <row r="38" spans="1:16" x14ac:dyDescent="0.2">
      <c r="B38" s="6"/>
      <c r="C38" s="6"/>
    </row>
  </sheetData>
  <autoFilter ref="A1:Q37" xr:uid="{B8DBE5F2-7BFA-4F21-A05A-D9CADD768696}"/>
  <hyperlinks>
    <hyperlink ref="A1" location="Список!A1" display="id" xr:uid="{D3D12AB1-94BA-4A32-A288-61B73DD47BB6}"/>
    <hyperlink ref="L1" location="DocTypeType!A1" display="DocTypeType_instance" xr:uid="{9368625E-3D2D-483C-8E7A-64E9FDE3DF45}"/>
    <hyperlink ref="S1" location="Object!A1" display="__Object" xr:uid="{FCE80F0F-E776-4005-830B-169EFDDE2D66}"/>
    <hyperlink ref="M9" location="MatList!A1" display="Ведомость материалов" xr:uid="{941F9249-DF19-49FD-9FDC-1B067F219D63}"/>
    <hyperlink ref="M5" location="DocList!A1" display="Ведомость документов" xr:uid="{FC6C0E6F-1E3E-4381-93B9-128B4AAC23EA}"/>
    <hyperlink ref="M6" location="Spec!A1" display="Спецификация" xr:uid="{5C8B9D71-983F-49AF-B988-8B5CCD07EE9C}"/>
    <hyperlink ref="M7" location="CableList!A1" display="Кабельный журнал" xr:uid="{E1390906-ECA0-42B0-B5FA-3A6189366F6C}"/>
    <hyperlink ref="M8" location="EquipList!A1" display="Ведомость оборудования" xr:uid="{7B52E9EC-A9D4-4962-B9BA-5E77899F1AC6}"/>
    <hyperlink ref="M10" location="WorkList!A1" display="Ведомость работ" xr:uid="{06E5D043-D93C-46AD-A933-1334379B7F35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D2052-A8E9-4D16-9179-0C853763B48B}">
  <sheetPr codeName="Лист6"/>
  <dimension ref="A1:Q7"/>
  <sheetViews>
    <sheetView workbookViewId="0"/>
  </sheetViews>
  <sheetFormatPr defaultRowHeight="15" x14ac:dyDescent="0.25"/>
  <cols>
    <col min="1" max="1" width="9.140625" customWidth="1"/>
    <col min="2" max="2" width="2.7109375" bestFit="1" customWidth="1"/>
    <col min="3" max="3" width="11.85546875" customWidth="1"/>
    <col min="4" max="4" width="11.7109375" customWidth="1"/>
    <col min="5" max="5" width="10.5703125" customWidth="1"/>
    <col min="6" max="6" width="8.7109375" customWidth="1"/>
    <col min="7" max="7" width="5.5703125" customWidth="1"/>
    <col min="8" max="8" width="3" customWidth="1"/>
    <col min="9" max="9" width="4.28515625" customWidth="1"/>
    <col min="10" max="10" width="3.28515625" customWidth="1"/>
    <col min="11" max="11" width="4.140625" customWidth="1"/>
    <col min="12" max="12" width="12.140625" customWidth="1"/>
    <col min="13" max="13" width="5" customWidth="1"/>
    <col min="14" max="14" width="2.28515625" customWidth="1"/>
    <col min="15" max="15" width="3.42578125" customWidth="1"/>
  </cols>
  <sheetData>
    <row r="1" spans="1:17" x14ac:dyDescent="0.25">
      <c r="A1" s="19" t="s">
        <v>154</v>
      </c>
      <c r="B1" s="21" t="s">
        <v>60</v>
      </c>
      <c r="C1" s="22" t="s">
        <v>142</v>
      </c>
      <c r="D1" s="24" t="s">
        <v>4</v>
      </c>
      <c r="E1" s="22" t="s">
        <v>141</v>
      </c>
      <c r="F1" s="21" t="s">
        <v>208</v>
      </c>
      <c r="G1" s="22" t="s">
        <v>153</v>
      </c>
    </row>
    <row r="2" spans="1:17" x14ac:dyDescent="0.25">
      <c r="A2" s="24" t="s">
        <v>40</v>
      </c>
      <c r="B2" s="19">
        <v>1</v>
      </c>
      <c r="C2" s="19" t="s">
        <v>58</v>
      </c>
      <c r="D2" s="24" t="s">
        <v>57</v>
      </c>
      <c r="E2" s="32" t="str">
        <f>CONCATENATE($G$1,"['",A2,"' ]=",C2,"(**{'",$D$1,"':'",D2,"'})")</f>
        <v>__dtt['annexes' ]=DocTypeType(**{'typetype':'Приложение'})</v>
      </c>
      <c r="F2" s="24"/>
      <c r="G2" s="24"/>
      <c r="H2" s="8"/>
      <c r="I2" s="8"/>
      <c r="J2" s="9"/>
      <c r="K2" s="8"/>
      <c r="L2" s="9"/>
      <c r="M2" s="8"/>
      <c r="N2" s="9"/>
      <c r="O2" s="8"/>
      <c r="P2" s="9"/>
      <c r="Q2" s="8"/>
    </row>
    <row r="3" spans="1:17" x14ac:dyDescent="0.25">
      <c r="A3" s="24" t="s">
        <v>2</v>
      </c>
      <c r="B3" s="19">
        <v>2</v>
      </c>
      <c r="C3" s="19" t="s">
        <v>58</v>
      </c>
      <c r="D3" s="24" t="s">
        <v>55</v>
      </c>
      <c r="E3" s="32" t="str">
        <f>CONCATENATE($G$1,"['",A3,"' ]=",C3,"(**{'",$D$1,"':'",D3,"'})")</f>
        <v>__dtt['category' ]=DocTypeType(**{'typetype':'Категория'})</v>
      </c>
      <c r="F3" s="24"/>
      <c r="G3" s="24"/>
      <c r="H3" s="8"/>
      <c r="I3" s="8"/>
      <c r="K3" s="8"/>
      <c r="L3" s="8"/>
      <c r="M3" s="8"/>
      <c r="N3" s="8"/>
      <c r="Q3" s="8"/>
    </row>
    <row r="4" spans="1:17" x14ac:dyDescent="0.25">
      <c r="A4" s="24" t="s">
        <v>26</v>
      </c>
      <c r="B4" s="19">
        <v>3</v>
      </c>
      <c r="C4" s="19" t="s">
        <v>58</v>
      </c>
      <c r="D4" s="24" t="s">
        <v>56</v>
      </c>
      <c r="E4" s="32" t="str">
        <f>CONCATENATE($G$1,"['",A4,"' ]=",C4,"(**{'",$D$1,"':'",D4,"'})")</f>
        <v>__dtt['document' ]=DocTypeType(**{'typetype':'Документ'})</v>
      </c>
      <c r="F4" s="24"/>
      <c r="G4" s="24"/>
      <c r="H4" s="8"/>
      <c r="I4" s="8"/>
      <c r="K4" s="8"/>
      <c r="L4" s="8"/>
      <c r="M4" s="8"/>
      <c r="N4" s="8"/>
      <c r="P4" s="8"/>
      <c r="Q4" s="8"/>
    </row>
    <row r="7" spans="1:17" x14ac:dyDescent="0.25">
      <c r="A7" s="8"/>
    </row>
  </sheetData>
  <sortState xmlns:xlrd2="http://schemas.microsoft.com/office/spreadsheetml/2017/richdata2" ref="A2:E4">
    <sortCondition ref="A2:A4"/>
  </sortState>
  <hyperlinks>
    <hyperlink ref="B1" location="Список!A1" display="id" xr:uid="{CAECE440-571B-4A1F-98CD-8309FAD28DBA}"/>
    <hyperlink ref="F1" location="Object!A1" display="__Object" xr:uid="{D6ED387B-5200-494F-A718-654D6764243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0311-C430-43AE-848E-C5AD757BA5CE}">
  <sheetPr codeName="Лист7"/>
  <dimension ref="A1:F10"/>
  <sheetViews>
    <sheetView workbookViewId="0"/>
  </sheetViews>
  <sheetFormatPr defaultRowHeight="12" customHeight="1" x14ac:dyDescent="0.25"/>
  <cols>
    <col min="1" max="1" width="2.7109375" bestFit="1" customWidth="1"/>
    <col min="2" max="2" width="14" bestFit="1" customWidth="1"/>
    <col min="3" max="3" width="53.42578125" bestFit="1" customWidth="1"/>
    <col min="4" max="4" width="17.85546875" bestFit="1" customWidth="1"/>
    <col min="5" max="5" width="15.28515625" bestFit="1" customWidth="1"/>
    <col min="6" max="6" width="5.28515625" bestFit="1" customWidth="1"/>
  </cols>
  <sheetData>
    <row r="1" spans="1:6" ht="12" customHeight="1" x14ac:dyDescent="0.25">
      <c r="A1" s="61" t="s">
        <v>60</v>
      </c>
      <c r="B1" s="57" t="s">
        <v>93</v>
      </c>
      <c r="C1" s="57" t="s">
        <v>94</v>
      </c>
      <c r="D1" s="60" t="s">
        <v>166</v>
      </c>
      <c r="E1" s="50" t="s">
        <v>133</v>
      </c>
      <c r="F1" s="21" t="s">
        <v>208</v>
      </c>
    </row>
    <row r="2" spans="1:6" ht="12" customHeight="1" x14ac:dyDescent="0.25">
      <c r="A2" s="19">
        <v>1</v>
      </c>
      <c r="B2" s="19" t="s">
        <v>96</v>
      </c>
      <c r="C2" s="20" t="s">
        <v>155</v>
      </c>
      <c r="D2" s="19" t="s">
        <v>196</v>
      </c>
      <c r="E2" s="19">
        <v>5</v>
      </c>
      <c r="F2" s="19"/>
    </row>
    <row r="3" spans="1:6" ht="12" customHeight="1" x14ac:dyDescent="0.25">
      <c r="A3" s="19">
        <v>2</v>
      </c>
      <c r="B3" s="19" t="s">
        <v>98</v>
      </c>
      <c r="C3" s="20" t="s">
        <v>156</v>
      </c>
      <c r="D3" s="19" t="s">
        <v>197</v>
      </c>
      <c r="E3" s="19">
        <v>5</v>
      </c>
      <c r="F3" s="19"/>
    </row>
    <row r="4" spans="1:6" ht="12" customHeight="1" x14ac:dyDescent="0.25">
      <c r="A4" s="19">
        <v>3</v>
      </c>
      <c r="B4" s="19" t="s">
        <v>100</v>
      </c>
      <c r="C4" s="20" t="s">
        <v>157</v>
      </c>
      <c r="D4" s="19" t="s">
        <v>88</v>
      </c>
      <c r="E4" s="19">
        <v>5</v>
      </c>
      <c r="F4" s="19"/>
    </row>
    <row r="5" spans="1:6" ht="12" customHeight="1" x14ac:dyDescent="0.25">
      <c r="A5" s="19">
        <v>4</v>
      </c>
      <c r="B5" s="19" t="s">
        <v>102</v>
      </c>
      <c r="C5" s="20" t="s">
        <v>158</v>
      </c>
      <c r="D5" s="19" t="s">
        <v>198</v>
      </c>
      <c r="E5" s="19">
        <v>5</v>
      </c>
      <c r="F5" s="19"/>
    </row>
    <row r="6" spans="1:6" ht="12" customHeight="1" x14ac:dyDescent="0.25">
      <c r="A6" s="19">
        <v>5</v>
      </c>
      <c r="B6" s="19" t="s">
        <v>104</v>
      </c>
      <c r="C6" s="20" t="s">
        <v>159</v>
      </c>
      <c r="D6" s="19" t="s">
        <v>199</v>
      </c>
      <c r="E6" s="19">
        <v>5</v>
      </c>
      <c r="F6" s="19"/>
    </row>
    <row r="7" spans="1:6" ht="12" customHeight="1" x14ac:dyDescent="0.25">
      <c r="A7" s="19">
        <v>6</v>
      </c>
      <c r="B7" s="19" t="s">
        <v>106</v>
      </c>
      <c r="C7" s="20" t="s">
        <v>160</v>
      </c>
      <c r="D7" s="19" t="s">
        <v>200</v>
      </c>
      <c r="E7" s="19">
        <v>5</v>
      </c>
      <c r="F7" s="19"/>
    </row>
    <row r="8" spans="1:6" ht="12" customHeight="1" x14ac:dyDescent="0.25">
      <c r="A8" s="19">
        <v>7</v>
      </c>
      <c r="B8" s="19" t="s">
        <v>108</v>
      </c>
      <c r="C8" s="20" t="s">
        <v>161</v>
      </c>
      <c r="D8" s="19" t="s">
        <v>201</v>
      </c>
      <c r="E8" s="19">
        <v>5</v>
      </c>
      <c r="F8" s="19"/>
    </row>
    <row r="9" spans="1:6" ht="12" customHeight="1" x14ac:dyDescent="0.25">
      <c r="A9" s="19">
        <v>8</v>
      </c>
      <c r="B9" s="19" t="s">
        <v>110</v>
      </c>
      <c r="C9" s="20" t="s">
        <v>162</v>
      </c>
      <c r="D9" s="19" t="s">
        <v>202</v>
      </c>
      <c r="E9" s="19">
        <v>5</v>
      </c>
      <c r="F9" s="19"/>
    </row>
    <row r="10" spans="1:6" ht="12" customHeight="1" x14ac:dyDescent="0.25">
      <c r="A10" s="19">
        <v>9</v>
      </c>
      <c r="B10" s="19" t="s">
        <v>112</v>
      </c>
      <c r="C10" s="20" t="s">
        <v>163</v>
      </c>
      <c r="D10" s="19" t="s">
        <v>203</v>
      </c>
      <c r="E10" s="19">
        <v>5</v>
      </c>
      <c r="F10" s="19"/>
    </row>
  </sheetData>
  <hyperlinks>
    <hyperlink ref="F1" location="Object!A1" display="__Object" xr:uid="{D0EC29B1-499C-486D-A107-F5DA9B4F110E}"/>
    <hyperlink ref="A1" location="Список!A1" display="id" xr:uid="{08C852A6-E179-47C2-B1CB-3311D079CD22}"/>
    <hyperlink ref="D1" location="SpecRecord!A1" display="SpecRecord_instance" xr:uid="{2468F8A7-107F-47F0-98F7-6E99DBB455AB}"/>
    <hyperlink ref="E1" location="DocType!A1" display="DocType" xr:uid="{060F5AFA-333D-459A-9A81-9FD476F2B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E820-B54C-4B42-AA03-DF82F3CB31BB}">
  <sheetPr codeName="Лист8"/>
  <dimension ref="A1:H28"/>
  <sheetViews>
    <sheetView workbookViewId="0">
      <selection activeCell="F9" sqref="F9"/>
    </sheetView>
  </sheetViews>
  <sheetFormatPr defaultRowHeight="15" x14ac:dyDescent="0.25"/>
  <cols>
    <col min="1" max="1" width="3" bestFit="1" customWidth="1"/>
    <col min="2" max="2" width="6.7109375" customWidth="1"/>
    <col min="3" max="3" width="5.28515625" bestFit="1" customWidth="1"/>
    <col min="4" max="4" width="7.85546875" customWidth="1"/>
    <col min="5" max="5" width="5.140625" customWidth="1"/>
    <col min="6" max="6" width="9.42578125" customWidth="1"/>
    <col min="7" max="7" width="7.7109375" customWidth="1"/>
    <col min="8" max="8" width="7.28515625" customWidth="1"/>
  </cols>
  <sheetData>
    <row r="1" spans="1:8" ht="12" customHeight="1" x14ac:dyDescent="0.25">
      <c r="A1" s="29" t="s">
        <v>60</v>
      </c>
      <c r="B1" s="17" t="s">
        <v>140</v>
      </c>
      <c r="C1" s="27" t="s">
        <v>187</v>
      </c>
      <c r="D1" s="29" t="s">
        <v>193</v>
      </c>
      <c r="E1" s="29" t="s">
        <v>194</v>
      </c>
      <c r="F1" s="29" t="s">
        <v>195</v>
      </c>
      <c r="G1" s="29" t="s">
        <v>191</v>
      </c>
      <c r="H1" s="16" t="s">
        <v>208</v>
      </c>
    </row>
    <row r="2" spans="1:8" ht="12" customHeight="1" x14ac:dyDescent="0.25">
      <c r="A2" s="19">
        <v>1</v>
      </c>
      <c r="B2" s="19">
        <v>1</v>
      </c>
      <c r="C2" s="19">
        <v>100</v>
      </c>
      <c r="D2" s="19">
        <v>1</v>
      </c>
      <c r="E2" s="19"/>
      <c r="F2" s="19"/>
      <c r="G2" s="19">
        <v>1</v>
      </c>
      <c r="H2" s="19"/>
    </row>
    <row r="3" spans="1:8" ht="12" customHeight="1" x14ac:dyDescent="0.25">
      <c r="A3" s="19">
        <v>2</v>
      </c>
      <c r="B3" s="19">
        <v>2</v>
      </c>
      <c r="C3" s="19">
        <v>200</v>
      </c>
      <c r="D3" s="19"/>
      <c r="E3" s="19">
        <v>1</v>
      </c>
      <c r="F3" s="19"/>
      <c r="G3" s="19">
        <v>2</v>
      </c>
      <c r="H3" s="19"/>
    </row>
    <row r="4" spans="1:8" ht="12" customHeight="1" x14ac:dyDescent="0.25">
      <c r="A4" s="19">
        <v>3</v>
      </c>
      <c r="B4" s="19">
        <v>3</v>
      </c>
      <c r="C4" s="19">
        <v>300</v>
      </c>
      <c r="D4" s="19"/>
      <c r="E4" s="19"/>
      <c r="F4" s="19">
        <v>1</v>
      </c>
      <c r="G4" s="19">
        <v>3</v>
      </c>
      <c r="H4" s="19"/>
    </row>
    <row r="5" spans="1:8" ht="12" customHeight="1" x14ac:dyDescent="0.25">
      <c r="A5" s="19">
        <v>4</v>
      </c>
      <c r="B5" s="19">
        <v>1</v>
      </c>
      <c r="C5" s="19">
        <v>25</v>
      </c>
      <c r="D5" s="19">
        <v>2</v>
      </c>
      <c r="E5" s="19"/>
      <c r="F5" s="19"/>
      <c r="G5" s="19">
        <v>1</v>
      </c>
      <c r="H5" s="19"/>
    </row>
    <row r="6" spans="1:8" ht="12" customHeight="1" x14ac:dyDescent="0.25">
      <c r="A6" s="19">
        <v>5</v>
      </c>
      <c r="B6" s="19">
        <v>2</v>
      </c>
      <c r="C6" s="19">
        <v>50</v>
      </c>
      <c r="D6" s="19"/>
      <c r="E6" s="19">
        <v>2</v>
      </c>
      <c r="F6" s="19"/>
      <c r="G6" s="19">
        <v>2</v>
      </c>
      <c r="H6" s="19"/>
    </row>
    <row r="7" spans="1:8" ht="12" customHeight="1" x14ac:dyDescent="0.25">
      <c r="A7" s="19">
        <v>6</v>
      </c>
      <c r="B7" s="19">
        <v>3</v>
      </c>
      <c r="C7" s="19">
        <v>75</v>
      </c>
      <c r="D7" s="19"/>
      <c r="E7" s="19"/>
      <c r="F7" s="19">
        <v>2</v>
      </c>
      <c r="G7" s="19">
        <v>3</v>
      </c>
      <c r="H7" s="19"/>
    </row>
    <row r="8" spans="1:8" ht="12" customHeight="1" x14ac:dyDescent="0.25">
      <c r="A8" s="19">
        <v>7</v>
      </c>
      <c r="B8" s="19">
        <v>1</v>
      </c>
      <c r="C8" s="19">
        <v>100</v>
      </c>
      <c r="D8" s="19">
        <v>3</v>
      </c>
      <c r="E8" s="19"/>
      <c r="F8" s="19"/>
      <c r="G8" s="19">
        <v>1</v>
      </c>
      <c r="H8" s="19"/>
    </row>
    <row r="9" spans="1:8" ht="12" customHeight="1" x14ac:dyDescent="0.25">
      <c r="A9" s="19">
        <v>8</v>
      </c>
      <c r="B9" s="19">
        <v>2</v>
      </c>
      <c r="C9" s="19">
        <v>200</v>
      </c>
      <c r="D9" s="19"/>
      <c r="E9" s="19">
        <v>3</v>
      </c>
      <c r="F9" s="19"/>
      <c r="G9" s="19">
        <v>2</v>
      </c>
      <c r="H9" s="19"/>
    </row>
    <row r="10" spans="1:8" ht="12" customHeight="1" x14ac:dyDescent="0.25">
      <c r="A10" s="19">
        <v>9</v>
      </c>
      <c r="B10" s="19">
        <v>3</v>
      </c>
      <c r="C10" s="19">
        <v>300</v>
      </c>
      <c r="D10" s="19"/>
      <c r="E10" s="19"/>
      <c r="F10" s="19">
        <v>3</v>
      </c>
      <c r="G10" s="19">
        <v>3</v>
      </c>
      <c r="H10" s="19"/>
    </row>
    <row r="11" spans="1:8" ht="12" customHeight="1" x14ac:dyDescent="0.25">
      <c r="A11" s="19">
        <v>10</v>
      </c>
      <c r="B11" s="19">
        <v>1</v>
      </c>
      <c r="C11" s="19">
        <v>25</v>
      </c>
      <c r="D11" s="19">
        <v>4</v>
      </c>
      <c r="E11" s="19"/>
      <c r="F11" s="19"/>
      <c r="G11" s="19">
        <v>1</v>
      </c>
      <c r="H11" s="19"/>
    </row>
    <row r="12" spans="1:8" ht="12" customHeight="1" x14ac:dyDescent="0.25">
      <c r="A12" s="19">
        <v>11</v>
      </c>
      <c r="B12" s="19">
        <v>2</v>
      </c>
      <c r="C12" s="19">
        <v>50</v>
      </c>
      <c r="D12" s="19"/>
      <c r="E12" s="19">
        <v>4</v>
      </c>
      <c r="F12" s="19"/>
      <c r="G12" s="19">
        <v>2</v>
      </c>
      <c r="H12" s="19"/>
    </row>
    <row r="13" spans="1:8" ht="12" customHeight="1" x14ac:dyDescent="0.25">
      <c r="A13" s="19">
        <v>12</v>
      </c>
      <c r="B13" s="19">
        <v>3</v>
      </c>
      <c r="C13" s="19">
        <v>75</v>
      </c>
      <c r="D13" s="19"/>
      <c r="E13" s="19"/>
      <c r="F13" s="19">
        <v>4</v>
      </c>
      <c r="G13" s="19">
        <v>3</v>
      </c>
      <c r="H13" s="19"/>
    </row>
    <row r="14" spans="1:8" ht="12" customHeight="1" x14ac:dyDescent="0.25">
      <c r="A14" s="19">
        <v>13</v>
      </c>
      <c r="B14" s="19">
        <v>1</v>
      </c>
      <c r="C14" s="19">
        <v>100</v>
      </c>
      <c r="D14" s="19">
        <v>5</v>
      </c>
      <c r="E14" s="19"/>
      <c r="F14" s="19"/>
      <c r="G14" s="19">
        <v>1</v>
      </c>
      <c r="H14" s="19"/>
    </row>
    <row r="15" spans="1:8" ht="12" customHeight="1" x14ac:dyDescent="0.25">
      <c r="A15" s="19">
        <v>14</v>
      </c>
      <c r="B15" s="19">
        <v>2</v>
      </c>
      <c r="C15" s="19">
        <v>200</v>
      </c>
      <c r="D15" s="19"/>
      <c r="E15" s="19">
        <v>5</v>
      </c>
      <c r="F15" s="19"/>
      <c r="G15" s="19">
        <v>2</v>
      </c>
      <c r="H15" s="19"/>
    </row>
    <row r="16" spans="1:8" ht="12" customHeight="1" x14ac:dyDescent="0.25">
      <c r="A16" s="19">
        <v>15</v>
      </c>
      <c r="B16" s="19">
        <v>3</v>
      </c>
      <c r="C16" s="19">
        <v>300</v>
      </c>
      <c r="D16" s="19"/>
      <c r="E16" s="19"/>
      <c r="F16" s="19">
        <v>5</v>
      </c>
      <c r="G16" s="19">
        <v>3</v>
      </c>
      <c r="H16" s="19"/>
    </row>
    <row r="17" spans="1:8" ht="12" customHeight="1" x14ac:dyDescent="0.25">
      <c r="A17" s="19">
        <v>16</v>
      </c>
      <c r="B17" s="19">
        <v>1</v>
      </c>
      <c r="C17" s="19">
        <v>25</v>
      </c>
      <c r="D17" s="19">
        <v>6</v>
      </c>
      <c r="E17" s="19"/>
      <c r="F17" s="19"/>
      <c r="G17" s="19">
        <v>1</v>
      </c>
      <c r="H17" s="19"/>
    </row>
    <row r="18" spans="1:8" ht="12" customHeight="1" x14ac:dyDescent="0.25">
      <c r="A18" s="19">
        <v>17</v>
      </c>
      <c r="B18" s="19">
        <v>2</v>
      </c>
      <c r="C18" s="19">
        <v>50</v>
      </c>
      <c r="D18" s="19"/>
      <c r="E18" s="19">
        <v>6</v>
      </c>
      <c r="F18" s="19"/>
      <c r="G18" s="19">
        <v>2</v>
      </c>
      <c r="H18" s="19"/>
    </row>
    <row r="19" spans="1:8" ht="12" customHeight="1" x14ac:dyDescent="0.25">
      <c r="A19" s="19">
        <v>18</v>
      </c>
      <c r="B19" s="19">
        <v>3</v>
      </c>
      <c r="C19" s="19">
        <v>75</v>
      </c>
      <c r="D19" s="19"/>
      <c r="E19" s="19"/>
      <c r="F19" s="19">
        <v>6</v>
      </c>
      <c r="G19" s="19">
        <v>3</v>
      </c>
      <c r="H19" s="19"/>
    </row>
    <row r="20" spans="1:8" ht="12" customHeight="1" x14ac:dyDescent="0.25">
      <c r="A20" s="19">
        <v>19</v>
      </c>
      <c r="B20" s="19">
        <v>1</v>
      </c>
      <c r="C20" s="19">
        <v>100</v>
      </c>
      <c r="D20" s="19">
        <v>7</v>
      </c>
      <c r="E20" s="19"/>
      <c r="F20" s="19"/>
      <c r="G20" s="19">
        <v>1</v>
      </c>
      <c r="H20" s="19"/>
    </row>
    <row r="21" spans="1:8" ht="12" customHeight="1" x14ac:dyDescent="0.25">
      <c r="A21" s="19">
        <v>20</v>
      </c>
      <c r="B21" s="19">
        <v>2</v>
      </c>
      <c r="C21" s="19">
        <v>200</v>
      </c>
      <c r="D21" s="19"/>
      <c r="E21" s="19">
        <v>7</v>
      </c>
      <c r="F21" s="19"/>
      <c r="G21" s="19">
        <v>2</v>
      </c>
      <c r="H21" s="19"/>
    </row>
    <row r="22" spans="1:8" ht="12" customHeight="1" x14ac:dyDescent="0.25">
      <c r="A22" s="19">
        <v>21</v>
      </c>
      <c r="B22" s="19">
        <v>3</v>
      </c>
      <c r="C22" s="19">
        <v>300</v>
      </c>
      <c r="D22" s="19"/>
      <c r="E22" s="19"/>
      <c r="F22" s="19">
        <v>7</v>
      </c>
      <c r="G22" s="19">
        <v>3</v>
      </c>
      <c r="H22" s="19"/>
    </row>
    <row r="23" spans="1:8" ht="12" customHeight="1" x14ac:dyDescent="0.25">
      <c r="A23" s="19">
        <v>22</v>
      </c>
      <c r="B23" s="19">
        <v>1</v>
      </c>
      <c r="C23" s="19">
        <v>25</v>
      </c>
      <c r="D23" s="19">
        <v>8</v>
      </c>
      <c r="E23" s="19"/>
      <c r="F23" s="19"/>
      <c r="G23" s="19">
        <v>1</v>
      </c>
      <c r="H23" s="19"/>
    </row>
    <row r="24" spans="1:8" ht="12" customHeight="1" x14ac:dyDescent="0.25">
      <c r="A24" s="19">
        <v>23</v>
      </c>
      <c r="B24" s="19">
        <v>2</v>
      </c>
      <c r="C24" s="19">
        <v>50</v>
      </c>
      <c r="D24" s="19"/>
      <c r="E24" s="19">
        <v>8</v>
      </c>
      <c r="F24" s="19"/>
      <c r="G24" s="19">
        <v>2</v>
      </c>
      <c r="H24" s="19"/>
    </row>
    <row r="25" spans="1:8" ht="12" customHeight="1" x14ac:dyDescent="0.25">
      <c r="A25" s="19">
        <v>24</v>
      </c>
      <c r="B25" s="19">
        <v>3</v>
      </c>
      <c r="C25" s="19">
        <v>75</v>
      </c>
      <c r="D25" s="19"/>
      <c r="E25" s="19"/>
      <c r="F25" s="19">
        <v>8</v>
      </c>
      <c r="G25" s="19">
        <v>3</v>
      </c>
      <c r="H25" s="19"/>
    </row>
    <row r="26" spans="1:8" ht="12" customHeight="1" x14ac:dyDescent="0.25">
      <c r="A26" s="19">
        <v>25</v>
      </c>
      <c r="B26" s="19">
        <v>1</v>
      </c>
      <c r="C26" s="19">
        <v>100</v>
      </c>
      <c r="D26" s="19">
        <v>9</v>
      </c>
      <c r="E26" s="19"/>
      <c r="F26" s="19"/>
      <c r="G26" s="19">
        <v>1</v>
      </c>
      <c r="H26" s="19"/>
    </row>
    <row r="27" spans="1:8" ht="12" customHeight="1" x14ac:dyDescent="0.25">
      <c r="A27" s="19">
        <v>26</v>
      </c>
      <c r="B27" s="19">
        <v>2</v>
      </c>
      <c r="C27" s="19">
        <v>200</v>
      </c>
      <c r="D27" s="19"/>
      <c r="E27" s="19">
        <v>9</v>
      </c>
      <c r="F27" s="19"/>
      <c r="G27" s="19">
        <v>2</v>
      </c>
      <c r="H27" s="19"/>
    </row>
    <row r="28" spans="1:8" ht="12" customHeight="1" x14ac:dyDescent="0.25">
      <c r="A28" s="19">
        <v>27</v>
      </c>
      <c r="B28" s="19">
        <v>3</v>
      </c>
      <c r="C28" s="19">
        <v>300</v>
      </c>
      <c r="D28" s="19"/>
      <c r="E28" s="19"/>
      <c r="F28" s="19">
        <v>9</v>
      </c>
      <c r="G28" s="19">
        <v>3</v>
      </c>
      <c r="H28" s="19"/>
    </row>
  </sheetData>
  <hyperlinks>
    <hyperlink ref="D1" location="Material!A1" display="Material_instance" xr:uid="{A6D3B0EC-1FA0-49BD-B41C-C259AB0822C7}"/>
    <hyperlink ref="A1" location="Список!A1" display="id" xr:uid="{A87F034F-FF97-427A-B6D9-FACEE3566196}"/>
    <hyperlink ref="E1" location="Cable!A1" display="Cable_instance" xr:uid="{8CE9A5C6-DA87-439D-A6DF-A2CC9CB5B9AA}"/>
    <hyperlink ref="F1" location="Equipment!A1" display="Equipment_instance" xr:uid="{BAA02EA4-176C-4A0E-8B29-10A7A9D6D295}"/>
    <hyperlink ref="G1" location="UnitType!A1" display="UnitType_instance" xr:uid="{7A8A99E8-12CE-4204-9B70-6259B6CBD736}"/>
    <hyperlink ref="H1" location="Object!A1" display="__Object" xr:uid="{5279C481-0972-4183-9FEF-59C1A250F218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05F7-5BC9-42FA-AEE2-470E8430F6BC}">
  <sheetPr codeName="Лист9"/>
  <dimension ref="A1:C4"/>
  <sheetViews>
    <sheetView workbookViewId="0">
      <selection activeCell="D9" sqref="D9"/>
    </sheetView>
  </sheetViews>
  <sheetFormatPr defaultRowHeight="12" customHeight="1" x14ac:dyDescent="0.25"/>
  <cols>
    <col min="1" max="1" width="2.5703125" bestFit="1" customWidth="1"/>
    <col min="2" max="2" width="12.5703125" bestFit="1" customWidth="1"/>
    <col min="3" max="3" width="5.28515625" bestFit="1" customWidth="1"/>
  </cols>
  <sheetData>
    <row r="1" spans="1:3" ht="12" customHeight="1" x14ac:dyDescent="0.25">
      <c r="A1" s="21" t="s">
        <v>60</v>
      </c>
      <c r="B1" s="26" t="s">
        <v>192</v>
      </c>
      <c r="C1" s="21" t="s">
        <v>208</v>
      </c>
    </row>
    <row r="2" spans="1:3" ht="12" customHeight="1" x14ac:dyDescent="0.25">
      <c r="A2" s="22">
        <v>1</v>
      </c>
      <c r="B2" s="26" t="s">
        <v>189</v>
      </c>
      <c r="C2" s="22"/>
    </row>
    <row r="3" spans="1:3" ht="12" customHeight="1" x14ac:dyDescent="0.25">
      <c r="A3" s="22">
        <v>2</v>
      </c>
      <c r="B3" s="26" t="s">
        <v>188</v>
      </c>
      <c r="C3" s="22"/>
    </row>
    <row r="4" spans="1:3" ht="12" customHeight="1" x14ac:dyDescent="0.25">
      <c r="A4" s="22">
        <v>3</v>
      </c>
      <c r="B4" s="26" t="s">
        <v>190</v>
      </c>
      <c r="C4" s="22"/>
    </row>
  </sheetData>
  <hyperlinks>
    <hyperlink ref="A1" location="Список!A1" display="id" xr:uid="{8465466F-971D-4196-B41F-70305008B850}"/>
    <hyperlink ref="C1" location="Object!A1" display="__Object" xr:uid="{9E581886-3783-4FFD-9085-CDF06703B0E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1BB9E-41F5-421A-8B6E-97F441442A29}">
  <sheetPr codeName="Лист10"/>
  <dimension ref="A1:J11"/>
  <sheetViews>
    <sheetView workbookViewId="0">
      <selection activeCell="E1" sqref="E1"/>
    </sheetView>
  </sheetViews>
  <sheetFormatPr defaultRowHeight="12" customHeight="1" x14ac:dyDescent="0.25"/>
  <cols>
    <col min="1" max="1" width="3" bestFit="1" customWidth="1"/>
    <col min="2" max="2" width="13.42578125" bestFit="1" customWidth="1"/>
    <col min="3" max="3" width="62.5703125" bestFit="1" customWidth="1"/>
    <col min="4" max="4" width="21.5703125" bestFit="1" customWidth="1"/>
    <col min="5" max="5" width="15.28515625" bestFit="1" customWidth="1"/>
    <col min="6" max="6" width="5.28515625" bestFit="1" customWidth="1"/>
  </cols>
  <sheetData>
    <row r="1" spans="1:10" ht="12" customHeight="1" x14ac:dyDescent="0.25">
      <c r="A1" s="56" t="s">
        <v>60</v>
      </c>
      <c r="B1" s="57" t="s">
        <v>93</v>
      </c>
      <c r="C1" s="57" t="s">
        <v>94</v>
      </c>
      <c r="D1" s="58" t="s">
        <v>229</v>
      </c>
      <c r="E1" s="50" t="s">
        <v>133</v>
      </c>
      <c r="F1" s="16" t="s">
        <v>208</v>
      </c>
      <c r="G1" s="1"/>
      <c r="H1" s="1"/>
      <c r="I1" s="1"/>
    </row>
    <row r="2" spans="1:10" ht="12" customHeight="1" x14ac:dyDescent="0.25">
      <c r="A2" s="19">
        <v>1</v>
      </c>
      <c r="B2" s="19" t="s">
        <v>230</v>
      </c>
      <c r="C2" s="20" t="s">
        <v>239</v>
      </c>
      <c r="D2" s="19">
        <v>1</v>
      </c>
      <c r="E2" s="19">
        <v>7</v>
      </c>
      <c r="F2" s="22"/>
      <c r="G2" s="1"/>
      <c r="H2" s="1"/>
      <c r="I2" s="1"/>
      <c r="J2" s="1"/>
    </row>
    <row r="3" spans="1:10" ht="12" customHeight="1" x14ac:dyDescent="0.25">
      <c r="A3" s="19">
        <v>2</v>
      </c>
      <c r="B3" s="19" t="s">
        <v>231</v>
      </c>
      <c r="C3" s="20" t="s">
        <v>240</v>
      </c>
      <c r="D3" s="19">
        <v>2</v>
      </c>
      <c r="E3" s="19">
        <v>7</v>
      </c>
      <c r="F3" s="22"/>
      <c r="G3" s="1"/>
      <c r="H3" s="1"/>
      <c r="I3" s="1"/>
      <c r="J3" s="1"/>
    </row>
    <row r="4" spans="1:10" ht="12" customHeight="1" x14ac:dyDescent="0.25">
      <c r="A4" s="19">
        <v>3</v>
      </c>
      <c r="B4" s="19" t="s">
        <v>232</v>
      </c>
      <c r="C4" s="20" t="s">
        <v>241</v>
      </c>
      <c r="D4" s="19">
        <v>3</v>
      </c>
      <c r="E4" s="19">
        <v>7</v>
      </c>
      <c r="F4" s="22"/>
      <c r="G4" s="1"/>
      <c r="H4" s="1"/>
      <c r="I4" s="1"/>
      <c r="J4" s="1"/>
    </row>
    <row r="5" spans="1:10" ht="12" customHeight="1" x14ac:dyDescent="0.25">
      <c r="A5" s="19">
        <v>4</v>
      </c>
      <c r="B5" s="19" t="s">
        <v>233</v>
      </c>
      <c r="C5" s="20" t="s">
        <v>242</v>
      </c>
      <c r="D5" s="19">
        <v>4</v>
      </c>
      <c r="E5" s="19">
        <v>7</v>
      </c>
      <c r="F5" s="22"/>
      <c r="G5" s="1"/>
      <c r="H5" s="1"/>
      <c r="I5" s="1"/>
      <c r="J5" s="1"/>
    </row>
    <row r="6" spans="1:10" ht="12" customHeight="1" x14ac:dyDescent="0.25">
      <c r="A6" s="19">
        <v>5</v>
      </c>
      <c r="B6" s="19" t="s">
        <v>234</v>
      </c>
      <c r="C6" s="20" t="s">
        <v>243</v>
      </c>
      <c r="D6" s="19">
        <v>5</v>
      </c>
      <c r="E6" s="19">
        <v>7</v>
      </c>
      <c r="F6" s="22"/>
      <c r="G6" s="1"/>
      <c r="H6" s="1"/>
      <c r="I6" s="1"/>
      <c r="J6" s="1"/>
    </row>
    <row r="7" spans="1:10" ht="12" customHeight="1" x14ac:dyDescent="0.25">
      <c r="A7" s="19">
        <v>6</v>
      </c>
      <c r="B7" s="19" t="s">
        <v>235</v>
      </c>
      <c r="C7" s="20" t="s">
        <v>244</v>
      </c>
      <c r="D7" s="19">
        <v>6</v>
      </c>
      <c r="E7" s="19">
        <v>7</v>
      </c>
      <c r="F7" s="22"/>
      <c r="G7" s="1"/>
      <c r="H7" s="1"/>
      <c r="I7" s="1"/>
      <c r="J7" s="1"/>
    </row>
    <row r="8" spans="1:10" ht="12" customHeight="1" x14ac:dyDescent="0.25">
      <c r="A8" s="19">
        <v>7</v>
      </c>
      <c r="B8" s="19" t="s">
        <v>236</v>
      </c>
      <c r="C8" s="20" t="s">
        <v>245</v>
      </c>
      <c r="D8" s="19">
        <v>7</v>
      </c>
      <c r="E8" s="19">
        <v>7</v>
      </c>
      <c r="F8" s="22"/>
      <c r="G8" s="1"/>
      <c r="H8" s="1"/>
      <c r="I8" s="1"/>
      <c r="J8" s="1"/>
    </row>
    <row r="9" spans="1:10" ht="12" customHeight="1" x14ac:dyDescent="0.25">
      <c r="A9" s="19">
        <v>8</v>
      </c>
      <c r="B9" s="19" t="s">
        <v>237</v>
      </c>
      <c r="C9" s="20" t="s">
        <v>246</v>
      </c>
      <c r="D9" s="19">
        <v>8</v>
      </c>
      <c r="E9" s="19">
        <v>7</v>
      </c>
      <c r="F9" s="22"/>
      <c r="G9" s="1"/>
      <c r="H9" s="1"/>
      <c r="I9" s="1"/>
      <c r="J9" s="1"/>
    </row>
    <row r="10" spans="1:10" ht="12" customHeight="1" x14ac:dyDescent="0.25">
      <c r="A10" s="19">
        <v>9</v>
      </c>
      <c r="B10" s="19" t="s">
        <v>238</v>
      </c>
      <c r="C10" s="20" t="s">
        <v>247</v>
      </c>
      <c r="D10" s="19">
        <v>9</v>
      </c>
      <c r="E10" s="19">
        <v>7</v>
      </c>
      <c r="F10" s="22"/>
      <c r="G10" s="1"/>
      <c r="H10" s="1"/>
      <c r="I10" s="1"/>
      <c r="J10" s="1"/>
    </row>
    <row r="11" spans="1:10" ht="12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</sheetData>
  <hyperlinks>
    <hyperlink ref="A1" location="Список!A1" display="id" xr:uid="{3334CCE8-D570-4871-AAF8-E2C0C61FB661}"/>
    <hyperlink ref="F1" location="Object!A1" display="__Object" xr:uid="{46CE943D-37F4-45AF-9E94-4F840D86AD4A}"/>
    <hyperlink ref="D1" location="EquipListRecord!A1" display="EquipListRecord_instance" xr:uid="{34EBB074-0C29-4AA5-B913-ECAF918ACDE1}"/>
    <hyperlink ref="E1" location="DocType!A1" display="DocType" xr:uid="{1D5BD684-E0AB-4FA2-9B28-A35B4A8231E5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07B5-7A35-44EC-94CC-539BC8D3787A}">
  <sheetPr codeName="Лист11"/>
  <dimension ref="A1:F10"/>
  <sheetViews>
    <sheetView workbookViewId="0">
      <selection activeCell="I28" sqref="I28"/>
    </sheetView>
  </sheetViews>
  <sheetFormatPr defaultRowHeight="12" customHeight="1" x14ac:dyDescent="0.25"/>
  <cols>
    <col min="1" max="1" width="3" bestFit="1" customWidth="1"/>
    <col min="2" max="2" width="7" customWidth="1"/>
    <col min="3" max="3" width="5.28515625" bestFit="1" customWidth="1"/>
    <col min="4" max="4" width="9.140625" customWidth="1"/>
    <col min="5" max="5" width="7.85546875" customWidth="1"/>
    <col min="6" max="6" width="5.28515625" bestFit="1" customWidth="1"/>
  </cols>
  <sheetData>
    <row r="1" spans="1:6" ht="12" customHeight="1" x14ac:dyDescent="0.25">
      <c r="A1" s="21" t="s">
        <v>60</v>
      </c>
      <c r="B1" s="28" t="s">
        <v>140</v>
      </c>
      <c r="C1" s="22" t="s">
        <v>187</v>
      </c>
      <c r="D1" s="21" t="s">
        <v>195</v>
      </c>
      <c r="E1" s="21" t="s">
        <v>191</v>
      </c>
      <c r="F1" s="21" t="s">
        <v>208</v>
      </c>
    </row>
    <row r="2" spans="1:6" ht="12" customHeight="1" x14ac:dyDescent="0.25">
      <c r="A2" s="19">
        <v>1</v>
      </c>
      <c r="B2" s="19">
        <v>3</v>
      </c>
      <c r="C2" s="19">
        <v>300</v>
      </c>
      <c r="D2" s="19">
        <v>1</v>
      </c>
      <c r="E2" s="19">
        <v>3</v>
      </c>
      <c r="F2" s="19"/>
    </row>
    <row r="3" spans="1:6" ht="12" customHeight="1" x14ac:dyDescent="0.25">
      <c r="A3" s="19">
        <v>2</v>
      </c>
      <c r="B3" s="19">
        <v>3</v>
      </c>
      <c r="C3" s="19">
        <v>75</v>
      </c>
      <c r="D3" s="19">
        <v>2</v>
      </c>
      <c r="E3" s="19">
        <v>3</v>
      </c>
      <c r="F3" s="19"/>
    </row>
    <row r="4" spans="1:6" ht="12" customHeight="1" x14ac:dyDescent="0.25">
      <c r="A4" s="19">
        <v>3</v>
      </c>
      <c r="B4" s="19">
        <v>3</v>
      </c>
      <c r="C4" s="19">
        <v>300</v>
      </c>
      <c r="D4" s="19">
        <v>3</v>
      </c>
      <c r="E4" s="19">
        <v>3</v>
      </c>
      <c r="F4" s="19"/>
    </row>
    <row r="5" spans="1:6" ht="12" customHeight="1" x14ac:dyDescent="0.25">
      <c r="A5" s="19">
        <v>4</v>
      </c>
      <c r="B5" s="19">
        <v>3</v>
      </c>
      <c r="C5" s="19">
        <v>75</v>
      </c>
      <c r="D5" s="19">
        <v>4</v>
      </c>
      <c r="E5" s="19">
        <v>3</v>
      </c>
      <c r="F5" s="19"/>
    </row>
    <row r="6" spans="1:6" ht="12" customHeight="1" x14ac:dyDescent="0.25">
      <c r="A6" s="19">
        <v>5</v>
      </c>
      <c r="B6" s="19">
        <v>3</v>
      </c>
      <c r="C6" s="19">
        <v>300</v>
      </c>
      <c r="D6" s="19">
        <v>5</v>
      </c>
      <c r="E6" s="19">
        <v>3</v>
      </c>
      <c r="F6" s="19"/>
    </row>
    <row r="7" spans="1:6" ht="12" customHeight="1" x14ac:dyDescent="0.25">
      <c r="A7" s="19">
        <v>6</v>
      </c>
      <c r="B7" s="19">
        <v>3</v>
      </c>
      <c r="C7" s="19">
        <v>75</v>
      </c>
      <c r="D7" s="19">
        <v>6</v>
      </c>
      <c r="E7" s="19">
        <v>3</v>
      </c>
      <c r="F7" s="19"/>
    </row>
    <row r="8" spans="1:6" ht="12" customHeight="1" x14ac:dyDescent="0.25">
      <c r="A8" s="19">
        <v>7</v>
      </c>
      <c r="B8" s="19">
        <v>3</v>
      </c>
      <c r="C8" s="19">
        <v>300</v>
      </c>
      <c r="D8" s="19">
        <v>7</v>
      </c>
      <c r="E8" s="19">
        <v>3</v>
      </c>
      <c r="F8" s="19"/>
    </row>
    <row r="9" spans="1:6" ht="12" customHeight="1" x14ac:dyDescent="0.25">
      <c r="A9" s="19">
        <v>8</v>
      </c>
      <c r="B9" s="19">
        <v>3</v>
      </c>
      <c r="C9" s="19">
        <v>75</v>
      </c>
      <c r="D9" s="19">
        <v>8</v>
      </c>
      <c r="E9" s="19">
        <v>3</v>
      </c>
      <c r="F9" s="19"/>
    </row>
    <row r="10" spans="1:6" ht="12" customHeight="1" x14ac:dyDescent="0.25">
      <c r="A10" s="19">
        <v>9</v>
      </c>
      <c r="B10" s="19">
        <v>3</v>
      </c>
      <c r="C10" s="19">
        <v>300</v>
      </c>
      <c r="D10" s="19">
        <v>9</v>
      </c>
      <c r="E10" s="19">
        <v>3</v>
      </c>
      <c r="F10" s="19"/>
    </row>
  </sheetData>
  <hyperlinks>
    <hyperlink ref="A1" location="Список!A1" display="id" xr:uid="{2B9C2AD5-491F-493F-9590-2BDB46802AB0}"/>
    <hyperlink ref="D1" location="Equipment!A1" display="Equipment_instance" xr:uid="{A46C7187-CC02-432B-B2CE-C99D66D0379B}"/>
    <hyperlink ref="E1" location="UnitType!A1" display="UnitType_instance" xr:uid="{E8D7FE5D-581C-41E4-8623-7A94316C1F02}"/>
    <hyperlink ref="F1" location="Object!A1" display="__Object" xr:uid="{3D4B9B11-A0AC-4215-BD8B-D751791CC4B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75465-CBF9-4514-9210-D2DFECC31FD8}">
  <sheetPr codeName="Лист12"/>
  <dimension ref="A1:E10"/>
  <sheetViews>
    <sheetView workbookViewId="0">
      <selection sqref="A1:XFD1048576"/>
    </sheetView>
  </sheetViews>
  <sheetFormatPr defaultRowHeight="12" customHeight="1" x14ac:dyDescent="0.25"/>
  <cols>
    <col min="1" max="1" width="2.7109375" bestFit="1" customWidth="1"/>
    <col min="2" max="2" width="7.140625" customWidth="1"/>
    <col min="3" max="3" width="11.42578125" customWidth="1"/>
    <col min="4" max="4" width="7.7109375" customWidth="1"/>
  </cols>
  <sheetData>
    <row r="1" spans="1:5" ht="12" customHeight="1" x14ac:dyDescent="0.25">
      <c r="A1" s="16" t="s">
        <v>60</v>
      </c>
      <c r="B1" s="17" t="s">
        <v>204</v>
      </c>
      <c r="C1" s="17" t="s">
        <v>205</v>
      </c>
      <c r="D1" s="18" t="s">
        <v>206</v>
      </c>
      <c r="E1" s="16" t="s">
        <v>208</v>
      </c>
    </row>
    <row r="2" spans="1:5" ht="12" customHeight="1" x14ac:dyDescent="0.25">
      <c r="A2" s="19">
        <v>1</v>
      </c>
      <c r="B2" s="19" t="s">
        <v>248</v>
      </c>
      <c r="C2" s="19" t="s">
        <v>257</v>
      </c>
      <c r="D2" s="19">
        <v>1</v>
      </c>
      <c r="E2" s="19"/>
    </row>
    <row r="3" spans="1:5" ht="12" customHeight="1" x14ac:dyDescent="0.25">
      <c r="A3" s="19">
        <v>2</v>
      </c>
      <c r="B3" s="19" t="s">
        <v>249</v>
      </c>
      <c r="C3" s="19" t="s">
        <v>258</v>
      </c>
      <c r="D3" s="19">
        <v>2</v>
      </c>
      <c r="E3" s="19"/>
    </row>
    <row r="4" spans="1:5" ht="12" customHeight="1" x14ac:dyDescent="0.25">
      <c r="A4" s="19">
        <v>3</v>
      </c>
      <c r="B4" s="19" t="s">
        <v>250</v>
      </c>
      <c r="C4" s="19" t="s">
        <v>259</v>
      </c>
      <c r="D4" s="19">
        <v>3</v>
      </c>
      <c r="E4" s="19"/>
    </row>
    <row r="5" spans="1:5" ht="12" customHeight="1" x14ac:dyDescent="0.25">
      <c r="A5" s="19">
        <v>4</v>
      </c>
      <c r="B5" s="19" t="s">
        <v>251</v>
      </c>
      <c r="C5" s="19" t="s">
        <v>260</v>
      </c>
      <c r="D5" s="19">
        <v>3</v>
      </c>
      <c r="E5" s="19"/>
    </row>
    <row r="6" spans="1:5" ht="12" customHeight="1" x14ac:dyDescent="0.25">
      <c r="A6" s="19">
        <v>5</v>
      </c>
      <c r="B6" s="19" t="s">
        <v>252</v>
      </c>
      <c r="C6" s="19" t="s">
        <v>261</v>
      </c>
      <c r="D6" s="19">
        <v>5</v>
      </c>
      <c r="E6" s="19"/>
    </row>
    <row r="7" spans="1:5" ht="12" customHeight="1" x14ac:dyDescent="0.25">
      <c r="A7" s="19">
        <v>6</v>
      </c>
      <c r="B7" s="19" t="s">
        <v>253</v>
      </c>
      <c r="C7" s="19" t="s">
        <v>262</v>
      </c>
      <c r="D7" s="19">
        <v>4</v>
      </c>
      <c r="E7" s="19"/>
    </row>
    <row r="8" spans="1:5" ht="12" customHeight="1" x14ac:dyDescent="0.25">
      <c r="A8" s="19">
        <v>7</v>
      </c>
      <c r="B8" s="19" t="s">
        <v>254</v>
      </c>
      <c r="C8" s="19" t="s">
        <v>263</v>
      </c>
      <c r="D8" s="19">
        <v>3</v>
      </c>
      <c r="E8" s="19"/>
    </row>
    <row r="9" spans="1:5" ht="12" customHeight="1" x14ac:dyDescent="0.25">
      <c r="A9" s="19">
        <v>8</v>
      </c>
      <c r="B9" s="19" t="s">
        <v>255</v>
      </c>
      <c r="C9" s="19" t="s">
        <v>264</v>
      </c>
      <c r="D9" s="19">
        <v>2</v>
      </c>
      <c r="E9" s="19"/>
    </row>
    <row r="10" spans="1:5" ht="12" customHeight="1" x14ac:dyDescent="0.25">
      <c r="A10" s="19">
        <v>9</v>
      </c>
      <c r="B10" s="19" t="s">
        <v>256</v>
      </c>
      <c r="C10" s="19" t="s">
        <v>265</v>
      </c>
      <c r="D10" s="19">
        <v>1</v>
      </c>
      <c r="E10" s="19"/>
    </row>
  </sheetData>
  <phoneticPr fontId="4" type="noConversion"/>
  <hyperlinks>
    <hyperlink ref="A1" location="Список!A1" display="id" xr:uid="{28A720CF-F76E-4F34-9045-569DE8FED9CA}"/>
    <hyperlink ref="D1" location="Category!A1" display="Category_instance" xr:uid="{B744F82F-E78E-4AB4-835D-D949635539FF}"/>
    <hyperlink ref="E1" location="Object!A1" display="__Object" xr:uid="{F89CA5DD-A550-4413-B07C-CE9AEF4B2D9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7F40B-649A-4F6B-8F6C-52D7140A670F}">
  <sheetPr codeName="Лист13"/>
  <dimension ref="A1:G7"/>
  <sheetViews>
    <sheetView workbookViewId="0">
      <selection activeCell="E14" sqref="E14"/>
    </sheetView>
  </sheetViews>
  <sheetFormatPr defaultRowHeight="12" customHeight="1" x14ac:dyDescent="0.25"/>
  <cols>
    <col min="1" max="1" width="2.7109375" bestFit="1" customWidth="1"/>
    <col min="2" max="2" width="7" customWidth="1"/>
    <col min="3" max="3" width="12.85546875" bestFit="1" customWidth="1"/>
    <col min="4" max="4" width="16.7109375" bestFit="1" customWidth="1"/>
  </cols>
  <sheetData>
    <row r="1" spans="1:7" ht="12" customHeight="1" x14ac:dyDescent="0.25">
      <c r="A1" s="21" t="s">
        <v>60</v>
      </c>
      <c r="B1" s="28" t="s">
        <v>267</v>
      </c>
      <c r="C1" s="22" t="s">
        <v>266</v>
      </c>
      <c r="D1" s="22" t="s">
        <v>141</v>
      </c>
      <c r="E1" s="23" t="s">
        <v>208</v>
      </c>
      <c r="F1" s="1"/>
      <c r="G1" s="1"/>
    </row>
    <row r="2" spans="1:7" ht="12" customHeight="1" x14ac:dyDescent="0.25">
      <c r="A2" s="19">
        <v>1</v>
      </c>
      <c r="B2" s="24">
        <v>1</v>
      </c>
      <c r="C2" s="25" t="str">
        <f>"Category"&amp;" "&amp;B2</f>
        <v>Category 1</v>
      </c>
      <c r="D2" s="24" t="s">
        <v>269</v>
      </c>
      <c r="E2" s="19"/>
      <c r="F2" s="1"/>
      <c r="G2" s="1"/>
    </row>
    <row r="3" spans="1:7" ht="12" customHeight="1" x14ac:dyDescent="0.25">
      <c r="A3" s="19">
        <v>2</v>
      </c>
      <c r="B3" s="24">
        <v>1.1000000000000001</v>
      </c>
      <c r="C3" s="25" t="str">
        <f t="shared" ref="C3:C6" si="0">"Category"&amp;" "&amp;B3</f>
        <v>Category 1.1</v>
      </c>
      <c r="D3" s="24"/>
      <c r="E3" s="19"/>
      <c r="F3" s="1"/>
      <c r="G3" s="1"/>
    </row>
    <row r="4" spans="1:7" ht="12" customHeight="1" x14ac:dyDescent="0.25">
      <c r="A4" s="19">
        <v>3</v>
      </c>
      <c r="B4" s="24" t="s">
        <v>268</v>
      </c>
      <c r="C4" s="25" t="str">
        <f t="shared" si="0"/>
        <v>Category 1.1.1</v>
      </c>
      <c r="D4" s="24"/>
      <c r="E4" s="19"/>
      <c r="F4" s="1"/>
      <c r="G4" s="1"/>
    </row>
    <row r="5" spans="1:7" ht="12" customHeight="1" x14ac:dyDescent="0.25">
      <c r="A5" s="19">
        <v>4</v>
      </c>
      <c r="B5" s="24">
        <v>2</v>
      </c>
      <c r="C5" s="25" t="str">
        <f t="shared" si="0"/>
        <v>Category 2</v>
      </c>
      <c r="D5" s="24"/>
      <c r="E5" s="19"/>
      <c r="F5" s="1"/>
      <c r="G5" s="1"/>
    </row>
    <row r="6" spans="1:7" ht="12" customHeight="1" x14ac:dyDescent="0.25">
      <c r="A6" s="19">
        <v>5</v>
      </c>
      <c r="B6" s="24">
        <v>2.1</v>
      </c>
      <c r="C6" s="25" t="str">
        <f t="shared" si="0"/>
        <v>Category 2.1</v>
      </c>
      <c r="D6" s="24"/>
      <c r="E6" s="19"/>
      <c r="F6" s="1"/>
      <c r="G6" s="1"/>
    </row>
    <row r="7" spans="1:7" ht="12" customHeight="1" x14ac:dyDescent="0.25">
      <c r="A7" s="1"/>
      <c r="B7" s="1"/>
      <c r="C7" s="1"/>
      <c r="D7" s="1"/>
      <c r="E7" s="1"/>
      <c r="F7" s="1"/>
      <c r="G7" s="1"/>
    </row>
  </sheetData>
  <phoneticPr fontId="4" type="noConversion"/>
  <hyperlinks>
    <hyperlink ref="A1" location="Список!A1" display="id" xr:uid="{0EE2FF13-3F6E-4CA5-A2CE-8C03CD8CCC4B}"/>
    <hyperlink ref="E1" location="Object!A1" display="__Object" xr:uid="{44924D2E-0DD8-419C-BF0F-C1F91F07B92D}"/>
  </hyperlinks>
  <pageMargins left="0.7" right="0.7" top="0.75" bottom="0.75" header="0.3" footer="0.3"/>
  <ignoredErrors>
    <ignoredError sqref="B4" twoDigitTextYear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58C9-04AE-4B19-8B52-308076AFAA38}">
  <sheetPr codeName="Лист15"/>
  <dimension ref="A1:I11"/>
  <sheetViews>
    <sheetView workbookViewId="0">
      <selection activeCell="E1" sqref="E1"/>
    </sheetView>
  </sheetViews>
  <sheetFormatPr defaultRowHeight="12" customHeight="1" x14ac:dyDescent="0.25"/>
  <cols>
    <col min="1" max="1" width="3" bestFit="1" customWidth="1"/>
    <col min="2" max="2" width="14" customWidth="1"/>
    <col min="3" max="3" width="60.7109375" bestFit="1" customWidth="1"/>
    <col min="4" max="4" width="20.140625" bestFit="1" customWidth="1"/>
    <col min="5" max="5" width="15.28515625" bestFit="1" customWidth="1"/>
    <col min="6" max="6" width="5.28515625" bestFit="1" customWidth="1"/>
    <col min="7" max="8" width="4.140625" customWidth="1"/>
  </cols>
  <sheetData>
    <row r="1" spans="1:9" ht="12" customHeight="1" x14ac:dyDescent="0.25">
      <c r="A1" s="50" t="s">
        <v>60</v>
      </c>
      <c r="B1" s="51" t="s">
        <v>93</v>
      </c>
      <c r="C1" s="51" t="s">
        <v>94</v>
      </c>
      <c r="D1" s="58" t="s">
        <v>288</v>
      </c>
      <c r="E1" s="50" t="s">
        <v>133</v>
      </c>
      <c r="F1" s="16" t="s">
        <v>208</v>
      </c>
      <c r="G1" s="6"/>
      <c r="H1" s="6"/>
    </row>
    <row r="2" spans="1:9" ht="12" customHeight="1" x14ac:dyDescent="0.25">
      <c r="A2" s="19">
        <v>1</v>
      </c>
      <c r="B2" s="19" t="s">
        <v>270</v>
      </c>
      <c r="C2" s="20" t="s">
        <v>279</v>
      </c>
      <c r="D2" s="19">
        <v>1</v>
      </c>
      <c r="E2" s="19">
        <v>8</v>
      </c>
      <c r="F2" s="19"/>
      <c r="G2" s="6"/>
      <c r="H2" s="6"/>
      <c r="I2" s="6"/>
    </row>
    <row r="3" spans="1:9" ht="12" customHeight="1" x14ac:dyDescent="0.25">
      <c r="A3" s="19">
        <v>2</v>
      </c>
      <c r="B3" s="19" t="s">
        <v>271</v>
      </c>
      <c r="C3" s="20" t="s">
        <v>280</v>
      </c>
      <c r="D3" s="19">
        <v>2</v>
      </c>
      <c r="E3" s="19">
        <v>8</v>
      </c>
      <c r="F3" s="19"/>
      <c r="G3" s="6"/>
      <c r="H3" s="6"/>
      <c r="I3" s="6"/>
    </row>
    <row r="4" spans="1:9" ht="12" customHeight="1" x14ac:dyDescent="0.25">
      <c r="A4" s="19">
        <v>3</v>
      </c>
      <c r="B4" s="19" t="s">
        <v>272</v>
      </c>
      <c r="C4" s="20" t="s">
        <v>281</v>
      </c>
      <c r="D4" s="19">
        <v>3</v>
      </c>
      <c r="E4" s="19">
        <v>8</v>
      </c>
      <c r="F4" s="19"/>
      <c r="G4" s="6"/>
      <c r="H4" s="6"/>
      <c r="I4" s="6"/>
    </row>
    <row r="5" spans="1:9" ht="12" customHeight="1" x14ac:dyDescent="0.25">
      <c r="A5" s="19">
        <v>4</v>
      </c>
      <c r="B5" s="19" t="s">
        <v>273</v>
      </c>
      <c r="C5" s="20" t="s">
        <v>282</v>
      </c>
      <c r="D5" s="19">
        <v>4</v>
      </c>
      <c r="E5" s="19">
        <v>8</v>
      </c>
      <c r="F5" s="19"/>
      <c r="G5" s="6"/>
      <c r="H5" s="6"/>
      <c r="I5" s="6"/>
    </row>
    <row r="6" spans="1:9" ht="12" customHeight="1" x14ac:dyDescent="0.25">
      <c r="A6" s="19">
        <v>5</v>
      </c>
      <c r="B6" s="19" t="s">
        <v>274</v>
      </c>
      <c r="C6" s="20" t="s">
        <v>283</v>
      </c>
      <c r="D6" s="19">
        <v>5</v>
      </c>
      <c r="E6" s="19">
        <v>8</v>
      </c>
      <c r="F6" s="19"/>
      <c r="G6" s="6"/>
      <c r="H6" s="6"/>
      <c r="I6" s="6"/>
    </row>
    <row r="7" spans="1:9" ht="12" customHeight="1" x14ac:dyDescent="0.25">
      <c r="A7" s="19">
        <v>6</v>
      </c>
      <c r="B7" s="19" t="s">
        <v>275</v>
      </c>
      <c r="C7" s="20" t="s">
        <v>284</v>
      </c>
      <c r="D7" s="19">
        <v>6</v>
      </c>
      <c r="E7" s="19">
        <v>8</v>
      </c>
      <c r="F7" s="19"/>
      <c r="G7" s="6"/>
      <c r="H7" s="6"/>
      <c r="I7" s="6"/>
    </row>
    <row r="8" spans="1:9" ht="12" customHeight="1" x14ac:dyDescent="0.25">
      <c r="A8" s="19">
        <v>7</v>
      </c>
      <c r="B8" s="19" t="s">
        <v>276</v>
      </c>
      <c r="C8" s="20" t="s">
        <v>285</v>
      </c>
      <c r="D8" s="19">
        <v>7</v>
      </c>
      <c r="E8" s="19">
        <v>8</v>
      </c>
      <c r="F8" s="19"/>
      <c r="G8" s="6"/>
      <c r="H8" s="6"/>
      <c r="I8" s="6"/>
    </row>
    <row r="9" spans="1:9" ht="12" customHeight="1" x14ac:dyDescent="0.25">
      <c r="A9" s="19">
        <v>8</v>
      </c>
      <c r="B9" s="19" t="s">
        <v>277</v>
      </c>
      <c r="C9" s="20" t="s">
        <v>286</v>
      </c>
      <c r="D9" s="19">
        <v>8</v>
      </c>
      <c r="E9" s="19">
        <v>8</v>
      </c>
      <c r="F9" s="19"/>
      <c r="G9" s="6"/>
      <c r="H9" s="6"/>
      <c r="I9" s="6"/>
    </row>
    <row r="10" spans="1:9" ht="12" customHeight="1" x14ac:dyDescent="0.25">
      <c r="A10" s="19">
        <v>9</v>
      </c>
      <c r="B10" s="19" t="s">
        <v>278</v>
      </c>
      <c r="C10" s="20" t="s">
        <v>287</v>
      </c>
      <c r="D10" s="19">
        <v>9</v>
      </c>
      <c r="E10" s="19">
        <v>8</v>
      </c>
      <c r="F10" s="19"/>
      <c r="G10" s="6"/>
      <c r="H10" s="6"/>
      <c r="I10" s="6"/>
    </row>
    <row r="11" spans="1:9" ht="12" customHeight="1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hyperlinks>
    <hyperlink ref="F1" location="Object!A1" display="__Object" xr:uid="{7CF0FD74-4F75-416D-A7E2-01FF176BE8BE}"/>
    <hyperlink ref="A1" location="Список!A1" display="id" xr:uid="{D4E58F0D-B1BB-4A8B-9EAA-ADACBCB45834}"/>
    <hyperlink ref="D1" location="MatListRecord!A1" display="MatListRecord_instance" xr:uid="{AD92F2E4-E183-43FA-BA0E-C2072D9517BC}"/>
    <hyperlink ref="E1" location="DocType!A1" display="DocType" xr:uid="{1D005794-78CB-482C-96AD-6E25BFD98EC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A354-F312-4760-8328-74312411A6FB}">
  <sheetPr codeName="Лист17"/>
  <dimension ref="A1:H10"/>
  <sheetViews>
    <sheetView workbookViewId="0"/>
  </sheetViews>
  <sheetFormatPr defaultRowHeight="12" customHeight="1" x14ac:dyDescent="0.25"/>
  <cols>
    <col min="1" max="1" width="3" bestFit="1" customWidth="1"/>
    <col min="2" max="2" width="6.7109375" customWidth="1"/>
    <col min="3" max="3" width="5.28515625" bestFit="1" customWidth="1"/>
    <col min="4" max="4" width="7.7109375" customWidth="1"/>
    <col min="5" max="5" width="7.85546875" customWidth="1"/>
    <col min="6" max="6" width="7.140625" customWidth="1"/>
  </cols>
  <sheetData>
    <row r="1" spans="1:8" ht="12" customHeight="1" x14ac:dyDescent="0.25">
      <c r="A1" s="16" t="s">
        <v>60</v>
      </c>
      <c r="B1" s="17" t="s">
        <v>140</v>
      </c>
      <c r="C1" s="19" t="s">
        <v>187</v>
      </c>
      <c r="D1" s="18" t="s">
        <v>193</v>
      </c>
      <c r="E1" s="18" t="s">
        <v>191</v>
      </c>
      <c r="F1" s="16" t="s">
        <v>208</v>
      </c>
      <c r="H1" s="13"/>
    </row>
    <row r="2" spans="1:8" ht="12" customHeight="1" x14ac:dyDescent="0.25">
      <c r="A2" s="19">
        <v>1</v>
      </c>
      <c r="B2" s="19">
        <v>1</v>
      </c>
      <c r="C2" s="19">
        <v>300</v>
      </c>
      <c r="D2" s="19">
        <v>1</v>
      </c>
      <c r="E2" s="19">
        <v>2</v>
      </c>
      <c r="F2" s="19"/>
    </row>
    <row r="3" spans="1:8" ht="12" customHeight="1" x14ac:dyDescent="0.25">
      <c r="A3" s="19">
        <v>2</v>
      </c>
      <c r="B3" s="19">
        <v>1</v>
      </c>
      <c r="C3" s="19">
        <v>75</v>
      </c>
      <c r="D3" s="19">
        <v>2</v>
      </c>
      <c r="E3" s="19">
        <v>2</v>
      </c>
      <c r="F3" s="19"/>
    </row>
    <row r="4" spans="1:8" ht="12" customHeight="1" x14ac:dyDescent="0.25">
      <c r="A4" s="19">
        <v>3</v>
      </c>
      <c r="B4" s="19">
        <v>1</v>
      </c>
      <c r="C4" s="19">
        <v>300</v>
      </c>
      <c r="D4" s="19">
        <v>3</v>
      </c>
      <c r="E4" s="19">
        <v>2</v>
      </c>
      <c r="F4" s="19"/>
    </row>
    <row r="5" spans="1:8" ht="12" customHeight="1" x14ac:dyDescent="0.25">
      <c r="A5" s="19">
        <v>4</v>
      </c>
      <c r="B5" s="19">
        <v>1</v>
      </c>
      <c r="C5" s="19">
        <v>75</v>
      </c>
      <c r="D5" s="19">
        <v>4</v>
      </c>
      <c r="E5" s="19">
        <v>2</v>
      </c>
      <c r="F5" s="19"/>
    </row>
    <row r="6" spans="1:8" ht="12" customHeight="1" x14ac:dyDescent="0.25">
      <c r="A6" s="19">
        <v>5</v>
      </c>
      <c r="B6" s="19">
        <v>1</v>
      </c>
      <c r="C6" s="19">
        <v>300</v>
      </c>
      <c r="D6" s="19">
        <v>5</v>
      </c>
      <c r="E6" s="19">
        <v>2</v>
      </c>
      <c r="F6" s="19"/>
    </row>
    <row r="7" spans="1:8" ht="12" customHeight="1" x14ac:dyDescent="0.25">
      <c r="A7" s="19">
        <v>6</v>
      </c>
      <c r="B7" s="19">
        <v>1</v>
      </c>
      <c r="C7" s="19">
        <v>75</v>
      </c>
      <c r="D7" s="19">
        <v>6</v>
      </c>
      <c r="E7" s="19">
        <v>2</v>
      </c>
      <c r="F7" s="19"/>
    </row>
    <row r="8" spans="1:8" ht="12" customHeight="1" x14ac:dyDescent="0.25">
      <c r="A8" s="19">
        <v>7</v>
      </c>
      <c r="B8" s="19">
        <v>1</v>
      </c>
      <c r="C8" s="19">
        <v>300</v>
      </c>
      <c r="D8" s="19">
        <v>7</v>
      </c>
      <c r="E8" s="19">
        <v>2</v>
      </c>
      <c r="F8" s="19"/>
    </row>
    <row r="9" spans="1:8" ht="12" customHeight="1" x14ac:dyDescent="0.25">
      <c r="A9" s="19">
        <v>8</v>
      </c>
      <c r="B9" s="19">
        <v>1</v>
      </c>
      <c r="C9" s="19">
        <v>75</v>
      </c>
      <c r="D9" s="19">
        <v>8</v>
      </c>
      <c r="E9" s="19">
        <v>2</v>
      </c>
      <c r="F9" s="19"/>
    </row>
    <row r="10" spans="1:8" ht="12" customHeight="1" x14ac:dyDescent="0.25">
      <c r="A10" s="19">
        <v>9</v>
      </c>
      <c r="B10" s="19">
        <v>1</v>
      </c>
      <c r="C10" s="19">
        <v>300</v>
      </c>
      <c r="D10" s="19">
        <v>9</v>
      </c>
      <c r="E10" s="19">
        <v>2</v>
      </c>
      <c r="F10" s="19"/>
    </row>
  </sheetData>
  <hyperlinks>
    <hyperlink ref="A1" location="Список!A1" display="id" xr:uid="{5ED7D238-5CD8-489E-9D3F-DC7222E9D8B1}"/>
    <hyperlink ref="D1" location="Equipment!A1" display="Equipment_instance" xr:uid="{47E27E31-9E19-4818-856A-3CD282C331CD}"/>
    <hyperlink ref="E1" location="UnitType!A1" display="UnitType_instance" xr:uid="{3B255E6D-AA77-47BF-9989-E3054F5F5D64}"/>
    <hyperlink ref="F1" location="Object!A1" display="__Object" xr:uid="{ED40C035-833E-4D04-8146-00A5BF1CC496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E0CB3-D7B1-46E8-B702-1533D6CE2B04}">
  <sheetPr codeName="Лист16"/>
  <dimension ref="A1:G10"/>
  <sheetViews>
    <sheetView workbookViewId="0"/>
  </sheetViews>
  <sheetFormatPr defaultRowHeight="12" customHeight="1" x14ac:dyDescent="0.25"/>
  <cols>
    <col min="1" max="1" width="2.7109375" bestFit="1" customWidth="1"/>
    <col min="2" max="2" width="6.5703125" customWidth="1"/>
    <col min="3" max="3" width="11.28515625" customWidth="1"/>
    <col min="4" max="4" width="8" customWidth="1"/>
    <col min="5" max="5" width="7.7109375" customWidth="1"/>
    <col min="6" max="6" width="7.28515625" customWidth="1"/>
  </cols>
  <sheetData>
    <row r="1" spans="1:7" ht="12" customHeight="1" x14ac:dyDescent="0.25">
      <c r="A1" s="16" t="s">
        <v>60</v>
      </c>
      <c r="B1" s="17" t="s">
        <v>299</v>
      </c>
      <c r="C1" s="17" t="s">
        <v>300</v>
      </c>
      <c r="D1" s="17" t="s">
        <v>357</v>
      </c>
      <c r="E1" s="18" t="s">
        <v>206</v>
      </c>
      <c r="F1" s="16" t="s">
        <v>208</v>
      </c>
      <c r="G1" s="12"/>
    </row>
    <row r="2" spans="1:7" ht="12" customHeight="1" x14ac:dyDescent="0.25">
      <c r="A2" s="19">
        <v>1</v>
      </c>
      <c r="B2" s="19" t="s">
        <v>301</v>
      </c>
      <c r="C2" s="19" t="s">
        <v>310</v>
      </c>
      <c r="D2" s="19">
        <v>0.02</v>
      </c>
      <c r="E2" s="19">
        <v>1</v>
      </c>
      <c r="F2" s="19"/>
      <c r="G2" s="12"/>
    </row>
    <row r="3" spans="1:7" ht="12" customHeight="1" x14ac:dyDescent="0.25">
      <c r="A3" s="19">
        <v>2</v>
      </c>
      <c r="B3" s="19" t="s">
        <v>302</v>
      </c>
      <c r="C3" s="19" t="s">
        <v>311</v>
      </c>
      <c r="D3" s="19">
        <v>0.03</v>
      </c>
      <c r="E3" s="19">
        <v>2</v>
      </c>
      <c r="F3" s="19"/>
      <c r="G3" s="12"/>
    </row>
    <row r="4" spans="1:7" ht="12" customHeight="1" x14ac:dyDescent="0.25">
      <c r="A4" s="19">
        <v>3</v>
      </c>
      <c r="B4" s="19" t="s">
        <v>303</v>
      </c>
      <c r="C4" s="19" t="s">
        <v>312</v>
      </c>
      <c r="D4" s="19"/>
      <c r="E4" s="19">
        <v>3</v>
      </c>
      <c r="F4" s="19"/>
      <c r="G4" s="12"/>
    </row>
    <row r="5" spans="1:7" ht="12" customHeight="1" x14ac:dyDescent="0.25">
      <c r="A5" s="19">
        <v>4</v>
      </c>
      <c r="B5" s="19" t="s">
        <v>304</v>
      </c>
      <c r="C5" s="19" t="s">
        <v>313</v>
      </c>
      <c r="D5" s="19"/>
      <c r="E5" s="19">
        <v>3</v>
      </c>
      <c r="F5" s="19"/>
      <c r="G5" s="12"/>
    </row>
    <row r="6" spans="1:7" ht="12" customHeight="1" x14ac:dyDescent="0.25">
      <c r="A6" s="19">
        <v>5</v>
      </c>
      <c r="B6" s="19" t="s">
        <v>305</v>
      </c>
      <c r="C6" s="19" t="s">
        <v>314</v>
      </c>
      <c r="D6" s="19">
        <v>0.02</v>
      </c>
      <c r="E6" s="19">
        <v>5</v>
      </c>
      <c r="F6" s="19"/>
      <c r="G6" s="12"/>
    </row>
    <row r="7" spans="1:7" ht="12" customHeight="1" x14ac:dyDescent="0.25">
      <c r="A7" s="19">
        <v>6</v>
      </c>
      <c r="B7" s="19" t="s">
        <v>306</v>
      </c>
      <c r="C7" s="19" t="s">
        <v>315</v>
      </c>
      <c r="D7" s="19"/>
      <c r="E7" s="19">
        <v>4</v>
      </c>
      <c r="F7" s="19"/>
      <c r="G7" s="12"/>
    </row>
    <row r="8" spans="1:7" ht="12" customHeight="1" x14ac:dyDescent="0.25">
      <c r="A8" s="19">
        <v>7</v>
      </c>
      <c r="B8" s="19" t="s">
        <v>307</v>
      </c>
      <c r="C8" s="19" t="s">
        <v>316</v>
      </c>
      <c r="D8" s="19"/>
      <c r="E8" s="19">
        <v>3</v>
      </c>
      <c r="F8" s="19"/>
      <c r="G8" s="12"/>
    </row>
    <row r="9" spans="1:7" ht="12" customHeight="1" x14ac:dyDescent="0.25">
      <c r="A9" s="19">
        <v>8</v>
      </c>
      <c r="B9" s="19" t="s">
        <v>308</v>
      </c>
      <c r="C9" s="19" t="s">
        <v>317</v>
      </c>
      <c r="D9" s="19">
        <v>0.03</v>
      </c>
      <c r="E9" s="19">
        <v>2</v>
      </c>
      <c r="F9" s="19"/>
      <c r="G9" s="12"/>
    </row>
    <row r="10" spans="1:7" ht="12" customHeight="1" x14ac:dyDescent="0.25">
      <c r="A10" s="19">
        <v>9</v>
      </c>
      <c r="B10" s="19" t="s">
        <v>309</v>
      </c>
      <c r="C10" s="19" t="s">
        <v>318</v>
      </c>
      <c r="D10" s="19">
        <v>0.02</v>
      </c>
      <c r="E10" s="19">
        <v>1</v>
      </c>
      <c r="F10" s="19"/>
      <c r="G10" s="12"/>
    </row>
  </sheetData>
  <hyperlinks>
    <hyperlink ref="F1" location="Object!A1" display="__Object" xr:uid="{34165CBD-9453-4839-9F0A-B6C6A4142438}"/>
    <hyperlink ref="A1" location="Список!A1" display="id" xr:uid="{3FF101CB-F284-4A7A-AC31-6AFFA604A1F5}"/>
    <hyperlink ref="E1" location="Category!A1" display="Category_instance" xr:uid="{193B6603-664F-4021-953D-054A9146878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287F-2EFA-4FC0-82E9-1B3EFEB0F962}">
  <sheetPr codeName="Лист18"/>
  <dimension ref="A1:I10"/>
  <sheetViews>
    <sheetView workbookViewId="0">
      <selection activeCell="E1" sqref="E1"/>
    </sheetView>
  </sheetViews>
  <sheetFormatPr defaultRowHeight="12" customHeight="1" x14ac:dyDescent="0.25"/>
  <cols>
    <col min="1" max="1" width="3" bestFit="1" customWidth="1"/>
    <col min="2" max="2" width="11.7109375" bestFit="1" customWidth="1"/>
    <col min="3" max="3" width="57.42578125" bestFit="1" customWidth="1"/>
    <col min="4" max="4" width="21.5703125" bestFit="1" customWidth="1"/>
    <col min="5" max="5" width="15.28515625" bestFit="1" customWidth="1"/>
    <col min="6" max="6" width="5.28515625" bestFit="1" customWidth="1"/>
  </cols>
  <sheetData>
    <row r="1" spans="1:9" ht="12" customHeight="1" x14ac:dyDescent="0.25">
      <c r="A1" s="50" t="s">
        <v>60</v>
      </c>
      <c r="B1" s="51" t="s">
        <v>93</v>
      </c>
      <c r="C1" s="51" t="s">
        <v>94</v>
      </c>
      <c r="D1" s="59" t="s">
        <v>298</v>
      </c>
      <c r="E1" s="50" t="s">
        <v>133</v>
      </c>
      <c r="F1" s="16" t="s">
        <v>208</v>
      </c>
      <c r="G1" s="12"/>
      <c r="I1" s="13"/>
    </row>
    <row r="2" spans="1:9" ht="12" customHeight="1" x14ac:dyDescent="0.25">
      <c r="A2" s="19">
        <v>1</v>
      </c>
      <c r="B2" s="19" t="s">
        <v>97</v>
      </c>
      <c r="C2" s="20" t="s">
        <v>289</v>
      </c>
      <c r="D2" s="19">
        <v>1</v>
      </c>
      <c r="E2" s="19">
        <v>6</v>
      </c>
      <c r="F2" s="19"/>
    </row>
    <row r="3" spans="1:9" ht="12" customHeight="1" x14ac:dyDescent="0.25">
      <c r="A3" s="19">
        <v>2</v>
      </c>
      <c r="B3" s="19" t="s">
        <v>99</v>
      </c>
      <c r="C3" s="20" t="s">
        <v>290</v>
      </c>
      <c r="D3" s="19">
        <v>2</v>
      </c>
      <c r="E3" s="19">
        <v>6</v>
      </c>
      <c r="F3" s="19"/>
    </row>
    <row r="4" spans="1:9" ht="12" customHeight="1" x14ac:dyDescent="0.25">
      <c r="A4" s="19">
        <v>3</v>
      </c>
      <c r="B4" s="19" t="s">
        <v>101</v>
      </c>
      <c r="C4" s="20" t="s">
        <v>291</v>
      </c>
      <c r="D4" s="19">
        <v>3</v>
      </c>
      <c r="E4" s="19">
        <v>6</v>
      </c>
      <c r="F4" s="19"/>
    </row>
    <row r="5" spans="1:9" ht="12" customHeight="1" x14ac:dyDescent="0.25">
      <c r="A5" s="19">
        <v>4</v>
      </c>
      <c r="B5" s="19" t="s">
        <v>103</v>
      </c>
      <c r="C5" s="20" t="s">
        <v>292</v>
      </c>
      <c r="D5" s="19">
        <v>4</v>
      </c>
      <c r="E5" s="19">
        <v>6</v>
      </c>
      <c r="F5" s="19"/>
    </row>
    <row r="6" spans="1:9" ht="12" customHeight="1" x14ac:dyDescent="0.25">
      <c r="A6" s="19">
        <v>5</v>
      </c>
      <c r="B6" s="19" t="s">
        <v>105</v>
      </c>
      <c r="C6" s="20" t="s">
        <v>293</v>
      </c>
      <c r="D6" s="19">
        <v>5</v>
      </c>
      <c r="E6" s="19">
        <v>6</v>
      </c>
      <c r="F6" s="19"/>
    </row>
    <row r="7" spans="1:9" ht="12" customHeight="1" x14ac:dyDescent="0.25">
      <c r="A7" s="19">
        <v>6</v>
      </c>
      <c r="B7" s="19" t="s">
        <v>107</v>
      </c>
      <c r="C7" s="20" t="s">
        <v>294</v>
      </c>
      <c r="D7" s="19">
        <v>6</v>
      </c>
      <c r="E7" s="19">
        <v>6</v>
      </c>
      <c r="F7" s="19"/>
    </row>
    <row r="8" spans="1:9" ht="12" customHeight="1" x14ac:dyDescent="0.25">
      <c r="A8" s="19">
        <v>7</v>
      </c>
      <c r="B8" s="19" t="s">
        <v>109</v>
      </c>
      <c r="C8" s="20" t="s">
        <v>295</v>
      </c>
      <c r="D8" s="19">
        <v>7</v>
      </c>
      <c r="E8" s="19">
        <v>6</v>
      </c>
      <c r="F8" s="19"/>
    </row>
    <row r="9" spans="1:9" ht="12" customHeight="1" x14ac:dyDescent="0.25">
      <c r="A9" s="19">
        <v>8</v>
      </c>
      <c r="B9" s="19" t="s">
        <v>111</v>
      </c>
      <c r="C9" s="20" t="s">
        <v>296</v>
      </c>
      <c r="D9" s="19">
        <v>8</v>
      </c>
      <c r="E9" s="19">
        <v>6</v>
      </c>
      <c r="F9" s="19"/>
    </row>
    <row r="10" spans="1:9" ht="12" customHeight="1" x14ac:dyDescent="0.25">
      <c r="A10" s="19">
        <v>9</v>
      </c>
      <c r="B10" s="19" t="s">
        <v>113</v>
      </c>
      <c r="C10" s="20" t="s">
        <v>297</v>
      </c>
      <c r="D10" s="19">
        <v>9</v>
      </c>
      <c r="E10" s="19">
        <v>6</v>
      </c>
      <c r="F10" s="19"/>
    </row>
  </sheetData>
  <hyperlinks>
    <hyperlink ref="A1" location="Список!A1" display="id" xr:uid="{2647F628-EEA6-435F-8947-C3D7C86FBBC4}"/>
    <hyperlink ref="D1" location="CableListRecord!A1" display="CableListRecord_instance" xr:uid="{1283C46F-B07B-4A38-AAA4-F65DD492DA69}"/>
    <hyperlink ref="F1" location="Object!A1" display="__Object" xr:uid="{925C2D00-BE08-439F-99BF-B0E3F6BBE8E4}"/>
    <hyperlink ref="E1" location="DocType!A1" display="DocType" xr:uid="{486F3C6B-AC0A-42A3-A6D7-ECDAA8334ECA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B6414-CEC9-466A-BE6F-F81DFF106BD7}">
  <sheetPr codeName="Лист19"/>
  <dimension ref="A1:H10"/>
  <sheetViews>
    <sheetView workbookViewId="0">
      <selection sqref="A1:XFD1048576"/>
    </sheetView>
  </sheetViews>
  <sheetFormatPr defaultRowHeight="12" customHeight="1" x14ac:dyDescent="0.25"/>
  <cols>
    <col min="1" max="1" width="3" bestFit="1" customWidth="1"/>
    <col min="2" max="2" width="6.7109375" customWidth="1"/>
    <col min="3" max="3" width="5.28515625" bestFit="1" customWidth="1"/>
    <col min="4" max="4" width="5.42578125" customWidth="1"/>
    <col min="5" max="5" width="7.85546875" customWidth="1"/>
    <col min="6" max="6" width="7.140625" customWidth="1"/>
  </cols>
  <sheetData>
    <row r="1" spans="1:8" ht="12" customHeight="1" x14ac:dyDescent="0.25">
      <c r="A1" s="16" t="s">
        <v>60</v>
      </c>
      <c r="B1" s="17" t="s">
        <v>140</v>
      </c>
      <c r="C1" s="19" t="s">
        <v>187</v>
      </c>
      <c r="D1" s="18" t="s">
        <v>194</v>
      </c>
      <c r="E1" s="18" t="s">
        <v>191</v>
      </c>
      <c r="F1" s="16" t="s">
        <v>208</v>
      </c>
      <c r="H1" s="13"/>
    </row>
    <row r="2" spans="1:8" ht="12" customHeight="1" x14ac:dyDescent="0.25">
      <c r="A2" s="19">
        <v>1</v>
      </c>
      <c r="B2" s="19">
        <v>1</v>
      </c>
      <c r="C2" s="19">
        <v>300</v>
      </c>
      <c r="D2" s="19">
        <v>1</v>
      </c>
      <c r="E2" s="19">
        <v>1</v>
      </c>
      <c r="F2" s="19"/>
    </row>
    <row r="3" spans="1:8" ht="12" customHeight="1" x14ac:dyDescent="0.25">
      <c r="A3" s="19">
        <v>2</v>
      </c>
      <c r="B3" s="19">
        <v>1</v>
      </c>
      <c r="C3" s="19">
        <v>75</v>
      </c>
      <c r="D3" s="19">
        <v>2</v>
      </c>
      <c r="E3" s="19">
        <v>1</v>
      </c>
      <c r="F3" s="19"/>
    </row>
    <row r="4" spans="1:8" ht="12" customHeight="1" x14ac:dyDescent="0.25">
      <c r="A4" s="19">
        <v>3</v>
      </c>
      <c r="B4" s="19">
        <v>1</v>
      </c>
      <c r="C4" s="19">
        <v>300</v>
      </c>
      <c r="D4" s="19">
        <v>3</v>
      </c>
      <c r="E4" s="19">
        <v>1</v>
      </c>
      <c r="F4" s="19"/>
    </row>
    <row r="5" spans="1:8" ht="12" customHeight="1" x14ac:dyDescent="0.25">
      <c r="A5" s="19">
        <v>4</v>
      </c>
      <c r="B5" s="19">
        <v>1</v>
      </c>
      <c r="C5" s="19">
        <v>75</v>
      </c>
      <c r="D5" s="19">
        <v>4</v>
      </c>
      <c r="E5" s="19">
        <v>1</v>
      </c>
      <c r="F5" s="19"/>
    </row>
    <row r="6" spans="1:8" ht="12" customHeight="1" x14ac:dyDescent="0.25">
      <c r="A6" s="19">
        <v>5</v>
      </c>
      <c r="B6" s="19">
        <v>1</v>
      </c>
      <c r="C6" s="19">
        <v>300</v>
      </c>
      <c r="D6" s="19">
        <v>5</v>
      </c>
      <c r="E6" s="19">
        <v>1</v>
      </c>
      <c r="F6" s="19"/>
    </row>
    <row r="7" spans="1:8" ht="12" customHeight="1" x14ac:dyDescent="0.25">
      <c r="A7" s="19">
        <v>6</v>
      </c>
      <c r="B7" s="19">
        <v>1</v>
      </c>
      <c r="C7" s="19">
        <v>75</v>
      </c>
      <c r="D7" s="19">
        <v>6</v>
      </c>
      <c r="E7" s="19">
        <v>1</v>
      </c>
      <c r="F7" s="19"/>
    </row>
    <row r="8" spans="1:8" ht="12" customHeight="1" x14ac:dyDescent="0.25">
      <c r="A8" s="19">
        <v>7</v>
      </c>
      <c r="B8" s="19">
        <v>1</v>
      </c>
      <c r="C8" s="19">
        <v>300</v>
      </c>
      <c r="D8" s="19">
        <v>7</v>
      </c>
      <c r="E8" s="19">
        <v>1</v>
      </c>
      <c r="F8" s="19"/>
    </row>
    <row r="9" spans="1:8" ht="12" customHeight="1" x14ac:dyDescent="0.25">
      <c r="A9" s="19">
        <v>8</v>
      </c>
      <c r="B9" s="19">
        <v>1</v>
      </c>
      <c r="C9" s="19">
        <v>75</v>
      </c>
      <c r="D9" s="19">
        <v>8</v>
      </c>
      <c r="E9" s="19">
        <v>1</v>
      </c>
      <c r="F9" s="19"/>
    </row>
    <row r="10" spans="1:8" ht="12" customHeight="1" x14ac:dyDescent="0.25">
      <c r="A10" s="19">
        <v>9</v>
      </c>
      <c r="B10" s="19">
        <v>1</v>
      </c>
      <c r="C10" s="19">
        <v>300</v>
      </c>
      <c r="D10" s="19">
        <v>9</v>
      </c>
      <c r="E10" s="19">
        <v>1</v>
      </c>
      <c r="F10" s="19"/>
    </row>
  </sheetData>
  <hyperlinks>
    <hyperlink ref="A1" location="Список!A1" display="id" xr:uid="{0B526B75-9E9D-4DD2-87F8-24645EE9AA52}"/>
    <hyperlink ref="D1" location="CableList!A1" display="Cable_instance" xr:uid="{1E97B744-0487-412C-B822-0BF6DCF185B0}"/>
    <hyperlink ref="E1" location="UnitType!A1" display="UnitType_instance" xr:uid="{C6F1D53F-DD0E-4DA3-8E2A-8C4F22D083C1}"/>
    <hyperlink ref="F1" location="Object!A1" display="__Object" xr:uid="{98E62DEF-DE0C-418A-BD5B-89B9831C5DFC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C3C75-1BFB-475A-A229-776FA43AB9F5}">
  <sheetPr codeName="Лист20"/>
  <dimension ref="A1:I14"/>
  <sheetViews>
    <sheetView workbookViewId="0">
      <selection sqref="A1:XFD1048576"/>
    </sheetView>
  </sheetViews>
  <sheetFormatPr defaultRowHeight="12" customHeight="1" x14ac:dyDescent="0.25"/>
  <cols>
    <col min="1" max="1" width="2.7109375" bestFit="1" customWidth="1"/>
    <col min="2" max="2" width="6.5703125" customWidth="1"/>
    <col min="3" max="3" width="10.28515625" customWidth="1"/>
    <col min="4" max="4" width="8" customWidth="1"/>
    <col min="5" max="5" width="7.7109375" customWidth="1"/>
    <col min="6" max="6" width="7.28515625" customWidth="1"/>
  </cols>
  <sheetData>
    <row r="1" spans="1:9" ht="12" customHeight="1" x14ac:dyDescent="0.25">
      <c r="A1" s="16" t="s">
        <v>60</v>
      </c>
      <c r="B1" s="17" t="s">
        <v>337</v>
      </c>
      <c r="C1" s="17" t="s">
        <v>336</v>
      </c>
      <c r="D1" s="19" t="s">
        <v>357</v>
      </c>
      <c r="E1" s="18" t="s">
        <v>206</v>
      </c>
      <c r="F1" s="16" t="s">
        <v>208</v>
      </c>
      <c r="I1" s="13"/>
    </row>
    <row r="2" spans="1:9" ht="12" customHeight="1" x14ac:dyDescent="0.25">
      <c r="A2" s="19">
        <v>1</v>
      </c>
      <c r="B2" s="19" t="s">
        <v>319</v>
      </c>
      <c r="C2" s="19" t="s">
        <v>327</v>
      </c>
      <c r="D2" s="19">
        <v>0.02</v>
      </c>
      <c r="E2" s="19">
        <v>1</v>
      </c>
      <c r="F2" s="19"/>
      <c r="G2" s="12"/>
      <c r="H2" s="12"/>
    </row>
    <row r="3" spans="1:9" ht="12" customHeight="1" x14ac:dyDescent="0.25">
      <c r="A3" s="19">
        <v>2</v>
      </c>
      <c r="B3" s="19" t="s">
        <v>59</v>
      </c>
      <c r="C3" s="19" t="s">
        <v>328</v>
      </c>
      <c r="D3" s="19">
        <v>0.03</v>
      </c>
      <c r="E3" s="19">
        <v>2</v>
      </c>
      <c r="F3" s="19"/>
      <c r="G3" s="12"/>
      <c r="H3" s="12"/>
    </row>
    <row r="4" spans="1:9" ht="12" customHeight="1" x14ac:dyDescent="0.25">
      <c r="A4" s="19">
        <v>3</v>
      </c>
      <c r="B4" s="19" t="s">
        <v>320</v>
      </c>
      <c r="C4" s="19" t="s">
        <v>329</v>
      </c>
      <c r="D4" s="19"/>
      <c r="E4" s="19">
        <v>3</v>
      </c>
      <c r="F4" s="19"/>
      <c r="G4" s="12"/>
      <c r="H4" s="12"/>
    </row>
    <row r="5" spans="1:9" ht="12" customHeight="1" x14ac:dyDescent="0.25">
      <c r="A5" s="19">
        <v>4</v>
      </c>
      <c r="B5" s="19" t="s">
        <v>321</v>
      </c>
      <c r="C5" s="19" t="s">
        <v>330</v>
      </c>
      <c r="D5" s="19"/>
      <c r="E5" s="19">
        <v>3</v>
      </c>
      <c r="F5" s="19"/>
      <c r="G5" s="12"/>
      <c r="H5" s="12"/>
    </row>
    <row r="6" spans="1:9" ht="12" customHeight="1" x14ac:dyDescent="0.25">
      <c r="A6" s="19">
        <v>5</v>
      </c>
      <c r="B6" s="19" t="s">
        <v>322</v>
      </c>
      <c r="C6" s="19" t="s">
        <v>331</v>
      </c>
      <c r="D6" s="19">
        <v>0.02</v>
      </c>
      <c r="E6" s="19">
        <v>5</v>
      </c>
      <c r="F6" s="19"/>
      <c r="G6" s="12"/>
      <c r="H6" s="12"/>
    </row>
    <row r="7" spans="1:9" ht="12" customHeight="1" x14ac:dyDescent="0.25">
      <c r="A7" s="19">
        <v>6</v>
      </c>
      <c r="B7" s="19" t="s">
        <v>323</v>
      </c>
      <c r="C7" s="19" t="s">
        <v>332</v>
      </c>
      <c r="D7" s="19"/>
      <c r="E7" s="19">
        <v>4</v>
      </c>
      <c r="F7" s="19"/>
      <c r="G7" s="12"/>
      <c r="H7" s="12"/>
    </row>
    <row r="8" spans="1:9" ht="12" customHeight="1" x14ac:dyDescent="0.25">
      <c r="A8" s="19">
        <v>7</v>
      </c>
      <c r="B8" s="19" t="s">
        <v>324</v>
      </c>
      <c r="C8" s="19" t="s">
        <v>333</v>
      </c>
      <c r="D8" s="19"/>
      <c r="E8" s="19">
        <v>3</v>
      </c>
      <c r="F8" s="19"/>
      <c r="G8" s="12"/>
      <c r="H8" s="12"/>
    </row>
    <row r="9" spans="1:9" ht="12" customHeight="1" x14ac:dyDescent="0.25">
      <c r="A9" s="19">
        <v>8</v>
      </c>
      <c r="B9" s="19" t="s">
        <v>325</v>
      </c>
      <c r="C9" s="19" t="s">
        <v>334</v>
      </c>
      <c r="D9" s="19">
        <v>0.03</v>
      </c>
      <c r="E9" s="19">
        <v>2</v>
      </c>
      <c r="F9" s="19"/>
      <c r="G9" s="12"/>
      <c r="H9" s="12"/>
    </row>
    <row r="10" spans="1:9" ht="12" customHeight="1" x14ac:dyDescent="0.25">
      <c r="A10" s="19">
        <v>9</v>
      </c>
      <c r="B10" s="19" t="s">
        <v>326</v>
      </c>
      <c r="C10" s="19" t="s">
        <v>335</v>
      </c>
      <c r="D10" s="19">
        <v>0.02</v>
      </c>
      <c r="E10" s="19">
        <v>1</v>
      </c>
      <c r="F10" s="19"/>
      <c r="G10" s="12"/>
      <c r="H10" s="12"/>
    </row>
    <row r="11" spans="1:9" ht="12" customHeight="1" x14ac:dyDescent="0.25">
      <c r="A11" s="12"/>
      <c r="B11" s="12"/>
      <c r="C11" s="12"/>
      <c r="E11" s="12"/>
      <c r="F11" s="12"/>
      <c r="G11" s="12"/>
      <c r="H11" s="12"/>
    </row>
    <row r="12" spans="1:9" ht="12" customHeight="1" x14ac:dyDescent="0.25">
      <c r="A12" s="12"/>
      <c r="B12" s="12"/>
      <c r="C12" s="12"/>
      <c r="E12" s="12"/>
      <c r="F12" s="12"/>
      <c r="G12" s="12"/>
      <c r="H12" s="12"/>
    </row>
    <row r="13" spans="1:9" ht="12" customHeight="1" x14ac:dyDescent="0.25">
      <c r="A13" s="12"/>
      <c r="B13" s="12"/>
      <c r="C13" s="12"/>
      <c r="E13" s="12"/>
      <c r="F13" s="12"/>
      <c r="G13" s="12"/>
      <c r="H13" s="12"/>
    </row>
    <row r="14" spans="1:9" ht="12" customHeight="1" x14ac:dyDescent="0.25">
      <c r="A14" s="12"/>
      <c r="B14" s="12"/>
      <c r="C14" s="12"/>
      <c r="E14" s="12"/>
      <c r="F14" s="12"/>
      <c r="G14" s="12"/>
      <c r="H14" s="12"/>
    </row>
  </sheetData>
  <hyperlinks>
    <hyperlink ref="F1" location="Object!A1" display="__Object" xr:uid="{303557B6-D7D5-4E78-B35E-8BFA566430D3}"/>
    <hyperlink ref="A1" location="Список!A1" display="id" xr:uid="{1A8A1914-1D74-436B-86A2-F8BFD93A7796}"/>
    <hyperlink ref="E1" location="Category!A1" display="Category_instance" xr:uid="{8A580179-3AAB-444F-BCB8-437315A4023C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5B87-9618-4DE8-9A48-9A02DBDE6CB2}">
  <sheetPr codeName="Лист21"/>
  <dimension ref="A1:I13"/>
  <sheetViews>
    <sheetView workbookViewId="0">
      <selection activeCell="E1" sqref="E1"/>
    </sheetView>
  </sheetViews>
  <sheetFormatPr defaultRowHeight="12" customHeight="1" x14ac:dyDescent="0.25"/>
  <cols>
    <col min="1" max="1" width="3" bestFit="1" customWidth="1"/>
    <col min="2" max="2" width="14.85546875" bestFit="1" customWidth="1"/>
    <col min="3" max="3" width="55.5703125" bestFit="1" customWidth="1"/>
    <col min="4" max="4" width="21.42578125" bestFit="1" customWidth="1"/>
    <col min="5" max="5" width="15.28515625" bestFit="1" customWidth="1"/>
    <col min="6" max="6" width="5.28515625" bestFit="1" customWidth="1"/>
  </cols>
  <sheetData>
    <row r="1" spans="1:9" ht="12" customHeight="1" x14ac:dyDescent="0.25">
      <c r="A1" s="56" t="s">
        <v>60</v>
      </c>
      <c r="B1" s="57" t="s">
        <v>93</v>
      </c>
      <c r="C1" s="57" t="s">
        <v>94</v>
      </c>
      <c r="D1" s="58" t="s">
        <v>347</v>
      </c>
      <c r="E1" s="56" t="s">
        <v>133</v>
      </c>
      <c r="F1" s="16" t="s">
        <v>208</v>
      </c>
      <c r="G1" s="1"/>
      <c r="I1" s="13"/>
    </row>
    <row r="2" spans="1:9" ht="12" customHeight="1" x14ac:dyDescent="0.25">
      <c r="A2" s="19">
        <v>1</v>
      </c>
      <c r="B2" s="19" t="s">
        <v>338</v>
      </c>
      <c r="C2" s="20" t="s">
        <v>348</v>
      </c>
      <c r="D2" s="19">
        <v>1</v>
      </c>
      <c r="E2" s="19">
        <v>6</v>
      </c>
      <c r="F2" s="19"/>
      <c r="G2" s="1"/>
    </row>
    <row r="3" spans="1:9" ht="12" customHeight="1" x14ac:dyDescent="0.25">
      <c r="A3" s="19">
        <v>2</v>
      </c>
      <c r="B3" s="19" t="s">
        <v>339</v>
      </c>
      <c r="C3" s="20" t="s">
        <v>349</v>
      </c>
      <c r="D3" s="19">
        <v>2</v>
      </c>
      <c r="E3" s="19">
        <v>6</v>
      </c>
      <c r="F3" s="19"/>
      <c r="G3" s="1"/>
    </row>
    <row r="4" spans="1:9" ht="12" customHeight="1" x14ac:dyDescent="0.25">
      <c r="A4" s="19">
        <v>3</v>
      </c>
      <c r="B4" s="19" t="s">
        <v>340</v>
      </c>
      <c r="C4" s="20" t="s">
        <v>350</v>
      </c>
      <c r="D4" s="19">
        <v>3</v>
      </c>
      <c r="E4" s="19">
        <v>6</v>
      </c>
      <c r="F4" s="19"/>
      <c r="G4" s="1"/>
    </row>
    <row r="5" spans="1:9" ht="12" customHeight="1" x14ac:dyDescent="0.25">
      <c r="A5" s="19">
        <v>4</v>
      </c>
      <c r="B5" s="19" t="s">
        <v>341</v>
      </c>
      <c r="C5" s="20" t="s">
        <v>351</v>
      </c>
      <c r="D5" s="19">
        <v>4</v>
      </c>
      <c r="E5" s="19">
        <v>6</v>
      </c>
      <c r="F5" s="19"/>
      <c r="G5" s="1"/>
    </row>
    <row r="6" spans="1:9" ht="12" customHeight="1" x14ac:dyDescent="0.25">
      <c r="A6" s="19">
        <v>5</v>
      </c>
      <c r="B6" s="19" t="s">
        <v>342</v>
      </c>
      <c r="C6" s="20" t="s">
        <v>352</v>
      </c>
      <c r="D6" s="19">
        <v>5</v>
      </c>
      <c r="E6" s="19">
        <v>6</v>
      </c>
      <c r="F6" s="19"/>
      <c r="G6" s="1"/>
    </row>
    <row r="7" spans="1:9" ht="12" customHeight="1" x14ac:dyDescent="0.25">
      <c r="A7" s="19">
        <v>6</v>
      </c>
      <c r="B7" s="19" t="s">
        <v>343</v>
      </c>
      <c r="C7" s="20" t="s">
        <v>353</v>
      </c>
      <c r="D7" s="19">
        <v>6</v>
      </c>
      <c r="E7" s="19">
        <v>6</v>
      </c>
      <c r="F7" s="19"/>
      <c r="G7" s="1"/>
    </row>
    <row r="8" spans="1:9" ht="12" customHeight="1" x14ac:dyDescent="0.25">
      <c r="A8" s="19">
        <v>7</v>
      </c>
      <c r="B8" s="19" t="s">
        <v>344</v>
      </c>
      <c r="C8" s="20" t="s">
        <v>354</v>
      </c>
      <c r="D8" s="19">
        <v>7</v>
      </c>
      <c r="E8" s="19">
        <v>6</v>
      </c>
      <c r="F8" s="19"/>
      <c r="G8" s="1"/>
    </row>
    <row r="9" spans="1:9" ht="12" customHeight="1" x14ac:dyDescent="0.25">
      <c r="A9" s="19">
        <v>8</v>
      </c>
      <c r="B9" s="19" t="s">
        <v>345</v>
      </c>
      <c r="C9" s="20" t="s">
        <v>355</v>
      </c>
      <c r="D9" s="19">
        <v>8</v>
      </c>
      <c r="E9" s="19">
        <v>6</v>
      </c>
      <c r="F9" s="19"/>
      <c r="G9" s="1"/>
    </row>
    <row r="10" spans="1:9" ht="12" customHeight="1" x14ac:dyDescent="0.25">
      <c r="A10" s="19">
        <v>9</v>
      </c>
      <c r="B10" s="19" t="s">
        <v>346</v>
      </c>
      <c r="C10" s="20" t="s">
        <v>356</v>
      </c>
      <c r="D10" s="19">
        <v>9</v>
      </c>
      <c r="E10" s="19">
        <v>6</v>
      </c>
      <c r="F10" s="19"/>
      <c r="G10" s="1"/>
    </row>
    <row r="11" spans="1:9" ht="12" customHeight="1" x14ac:dyDescent="0.25">
      <c r="A11" s="1"/>
      <c r="B11" s="1"/>
      <c r="C11" s="1"/>
      <c r="D11" s="1"/>
      <c r="E11" s="1"/>
      <c r="F11" s="1"/>
      <c r="G11" s="1"/>
    </row>
    <row r="12" spans="1:9" ht="12" customHeight="1" x14ac:dyDescent="0.25">
      <c r="A12" s="1"/>
      <c r="B12" s="1"/>
      <c r="C12" s="1"/>
      <c r="D12" s="1"/>
      <c r="E12" s="1"/>
      <c r="F12" s="1"/>
      <c r="G12" s="1"/>
    </row>
    <row r="13" spans="1:9" ht="12" customHeight="1" x14ac:dyDescent="0.25">
      <c r="A13" s="1"/>
      <c r="B13" s="1"/>
      <c r="C13" s="1"/>
      <c r="D13" s="1"/>
      <c r="E13" s="1"/>
      <c r="F13" s="1"/>
      <c r="G13" s="1"/>
    </row>
  </sheetData>
  <hyperlinks>
    <hyperlink ref="F1" location="Object!A1" display="__Object" xr:uid="{736AE6D8-EE34-4B38-80D3-9841053E5E7C}"/>
    <hyperlink ref="A1" location="Список!A1" display="id" xr:uid="{0C1658BE-07F5-4D5A-8DE5-E808DAB2F307}"/>
    <hyperlink ref="D1" location="WorkListRecord!A1" display="WorkListRecord_instance" xr:uid="{D0B88716-D55F-47F1-BA96-A0C477D72275}"/>
    <hyperlink ref="E1" location="DocType!A1" display="DocType" xr:uid="{2BA5D01D-92E7-48B1-B792-CE724BBD308E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6EAB-A3C9-4E8D-842B-914BC02CF868}">
  <sheetPr codeName="Лист22"/>
  <dimension ref="A1:K10"/>
  <sheetViews>
    <sheetView workbookViewId="0">
      <selection sqref="A1:XFD1048576"/>
    </sheetView>
  </sheetViews>
  <sheetFormatPr defaultRowHeight="12" customHeight="1" x14ac:dyDescent="0.25"/>
  <cols>
    <col min="1" max="1" width="3" bestFit="1" customWidth="1"/>
    <col min="2" max="2" width="6.7109375" customWidth="1"/>
    <col min="3" max="3" width="5.28515625" bestFit="1" customWidth="1"/>
    <col min="4" max="4" width="5.42578125" customWidth="1"/>
    <col min="5" max="5" width="13.5703125" customWidth="1"/>
    <col min="6" max="6" width="13.42578125" customWidth="1"/>
    <col min="7" max="7" width="7.85546875" customWidth="1"/>
    <col min="8" max="8" width="7.140625" customWidth="1"/>
  </cols>
  <sheetData>
    <row r="1" spans="1:11" s="1" customFormat="1" ht="12" customHeight="1" x14ac:dyDescent="0.2">
      <c r="A1" s="16" t="s">
        <v>60</v>
      </c>
      <c r="B1" s="17" t="s">
        <v>140</v>
      </c>
      <c r="C1" s="19" t="s">
        <v>187</v>
      </c>
      <c r="D1" s="18" t="s">
        <v>358</v>
      </c>
      <c r="E1" s="18" t="s">
        <v>229</v>
      </c>
      <c r="F1" s="18" t="s">
        <v>288</v>
      </c>
      <c r="G1" s="18" t="s">
        <v>191</v>
      </c>
      <c r="H1" s="16" t="s">
        <v>208</v>
      </c>
      <c r="K1" s="15"/>
    </row>
    <row r="2" spans="1:11" s="1" customFormat="1" ht="12" customHeight="1" x14ac:dyDescent="0.2">
      <c r="A2" s="19">
        <v>1</v>
      </c>
      <c r="B2" s="19">
        <v>1</v>
      </c>
      <c r="C2" s="19">
        <v>300</v>
      </c>
      <c r="D2" s="19">
        <v>1</v>
      </c>
      <c r="E2" s="19" t="s">
        <v>168</v>
      </c>
      <c r="F2" s="19" t="s">
        <v>168</v>
      </c>
      <c r="G2" s="19">
        <v>1</v>
      </c>
      <c r="H2" s="19"/>
    </row>
    <row r="3" spans="1:11" s="1" customFormat="1" ht="12" customHeight="1" x14ac:dyDescent="0.2">
      <c r="A3" s="19">
        <v>2</v>
      </c>
      <c r="B3" s="19">
        <v>1</v>
      </c>
      <c r="C3" s="19">
        <v>75</v>
      </c>
      <c r="D3" s="19">
        <v>2</v>
      </c>
      <c r="E3" s="19"/>
      <c r="F3" s="19" t="s">
        <v>169</v>
      </c>
      <c r="G3" s="19">
        <v>2</v>
      </c>
      <c r="H3" s="19"/>
    </row>
    <row r="4" spans="1:11" s="1" customFormat="1" ht="12" customHeight="1" x14ac:dyDescent="0.2">
      <c r="A4" s="19">
        <v>3</v>
      </c>
      <c r="B4" s="19">
        <v>1</v>
      </c>
      <c r="C4" s="19">
        <v>300</v>
      </c>
      <c r="D4" s="19">
        <v>3</v>
      </c>
      <c r="E4" s="19" t="s">
        <v>169</v>
      </c>
      <c r="F4" s="19" t="s">
        <v>170</v>
      </c>
      <c r="G4" s="19">
        <v>3</v>
      </c>
      <c r="H4" s="19"/>
    </row>
    <row r="5" spans="1:11" s="1" customFormat="1" ht="12" customHeight="1" x14ac:dyDescent="0.2">
      <c r="A5" s="19">
        <v>4</v>
      </c>
      <c r="B5" s="19">
        <v>1</v>
      </c>
      <c r="C5" s="19">
        <v>75</v>
      </c>
      <c r="D5" s="19">
        <v>4</v>
      </c>
      <c r="E5" s="19" t="s">
        <v>170</v>
      </c>
      <c r="F5" s="19"/>
      <c r="G5" s="19">
        <v>1</v>
      </c>
      <c r="H5" s="19"/>
    </row>
    <row r="6" spans="1:11" s="1" customFormat="1" ht="12" customHeight="1" x14ac:dyDescent="0.2">
      <c r="A6" s="19">
        <v>5</v>
      </c>
      <c r="B6" s="19">
        <v>1</v>
      </c>
      <c r="C6" s="19">
        <v>300</v>
      </c>
      <c r="D6" s="19">
        <v>5</v>
      </c>
      <c r="E6" s="19"/>
      <c r="F6" s="19">
        <v>7</v>
      </c>
      <c r="G6" s="19">
        <v>2</v>
      </c>
      <c r="H6" s="19"/>
    </row>
    <row r="7" spans="1:11" s="1" customFormat="1" ht="12" customHeight="1" x14ac:dyDescent="0.2">
      <c r="A7" s="19">
        <v>6</v>
      </c>
      <c r="B7" s="19">
        <v>1</v>
      </c>
      <c r="C7" s="19">
        <v>75</v>
      </c>
      <c r="D7" s="19">
        <v>6</v>
      </c>
      <c r="E7" s="19">
        <v>7</v>
      </c>
      <c r="F7" s="19">
        <v>8</v>
      </c>
      <c r="G7" s="19">
        <v>3</v>
      </c>
      <c r="H7" s="19"/>
    </row>
    <row r="8" spans="1:11" s="1" customFormat="1" ht="12" customHeight="1" x14ac:dyDescent="0.2">
      <c r="A8" s="19">
        <v>7</v>
      </c>
      <c r="B8" s="19">
        <v>1</v>
      </c>
      <c r="C8" s="19">
        <v>300</v>
      </c>
      <c r="D8" s="19">
        <v>7</v>
      </c>
      <c r="E8" s="19">
        <v>8</v>
      </c>
      <c r="F8" s="19"/>
      <c r="G8" s="19">
        <v>1</v>
      </c>
      <c r="H8" s="19"/>
    </row>
    <row r="9" spans="1:11" s="1" customFormat="1" ht="12" customHeight="1" x14ac:dyDescent="0.2">
      <c r="A9" s="19">
        <v>8</v>
      </c>
      <c r="B9" s="19">
        <v>1</v>
      </c>
      <c r="C9" s="19">
        <v>75</v>
      </c>
      <c r="D9" s="19">
        <v>8</v>
      </c>
      <c r="E9" s="19">
        <v>9</v>
      </c>
      <c r="F9" s="19">
        <v>8</v>
      </c>
      <c r="G9" s="19">
        <v>2</v>
      </c>
      <c r="H9" s="19"/>
    </row>
    <row r="10" spans="1:11" s="1" customFormat="1" ht="12" customHeight="1" x14ac:dyDescent="0.2">
      <c r="A10" s="19">
        <v>9</v>
      </c>
      <c r="B10" s="19">
        <v>1</v>
      </c>
      <c r="C10" s="19">
        <v>300</v>
      </c>
      <c r="D10" s="19">
        <v>9</v>
      </c>
      <c r="E10" s="19"/>
      <c r="F10" s="19">
        <v>9</v>
      </c>
      <c r="G10" s="19">
        <v>3</v>
      </c>
      <c r="H10" s="19"/>
    </row>
  </sheetData>
  <hyperlinks>
    <hyperlink ref="A1" location="Список!A1" display="id" xr:uid="{4582007C-FB9A-4E29-BC79-7F1CE6B9CD12}"/>
    <hyperlink ref="D1" location="Work!A1" display="Work_instance" xr:uid="{185DC20B-25B7-4766-90E7-30F2400991CD}"/>
    <hyperlink ref="G1" location="UnitType!A1" display="UnitType_instance" xr:uid="{D7BCD9D1-A34E-48FA-B8CF-FC9B5893B61B}"/>
    <hyperlink ref="H1" location="Object!A1" display="__Object" xr:uid="{6BCF5BEC-FF99-47C5-ACE3-0D6D72D48A59}"/>
    <hyperlink ref="E1" location="EquipListRecord!A1" display="EquipListRecord_instance" xr:uid="{A234A032-0E3B-4BDC-9C3C-1FCA6B866304}"/>
    <hyperlink ref="F1" location="MatListRecord!A1" display="MatListRecord_instance" xr:uid="{BDB3E662-2588-4F24-AC06-FC8C3999BBA6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36CC3-A731-4330-94B7-CDD2847AC292}">
  <sheetPr codeName="Лист23"/>
  <dimension ref="A1:G10"/>
  <sheetViews>
    <sheetView workbookViewId="0"/>
  </sheetViews>
  <sheetFormatPr defaultRowHeight="12" customHeight="1" x14ac:dyDescent="0.25"/>
  <cols>
    <col min="1" max="1" width="2.7109375" bestFit="1" customWidth="1"/>
    <col min="2" max="2" width="6.5703125" customWidth="1"/>
    <col min="3" max="3" width="10.28515625" customWidth="1"/>
    <col min="4" max="4" width="7.7109375" customWidth="1"/>
    <col min="5" max="5" width="7.28515625" customWidth="1"/>
  </cols>
  <sheetData>
    <row r="1" spans="1:7" s="1" customFormat="1" ht="12" customHeight="1" x14ac:dyDescent="0.2">
      <c r="A1" s="16" t="s">
        <v>60</v>
      </c>
      <c r="B1" s="17" t="s">
        <v>377</v>
      </c>
      <c r="C1" s="17" t="s">
        <v>378</v>
      </c>
      <c r="D1" s="18" t="s">
        <v>206</v>
      </c>
      <c r="E1" s="16" t="s">
        <v>208</v>
      </c>
      <c r="G1" s="15"/>
    </row>
    <row r="2" spans="1:7" s="1" customFormat="1" ht="12" customHeight="1" x14ac:dyDescent="0.2">
      <c r="A2" s="19">
        <v>1</v>
      </c>
      <c r="B2" s="19" t="s">
        <v>368</v>
      </c>
      <c r="C2" s="19" t="s">
        <v>359</v>
      </c>
      <c r="D2" s="19">
        <v>1</v>
      </c>
      <c r="E2" s="19"/>
    </row>
    <row r="3" spans="1:7" s="1" customFormat="1" ht="12" customHeight="1" x14ac:dyDescent="0.2">
      <c r="A3" s="19">
        <v>2</v>
      </c>
      <c r="B3" s="19" t="s">
        <v>369</v>
      </c>
      <c r="C3" s="19" t="s">
        <v>360</v>
      </c>
      <c r="D3" s="19">
        <v>2</v>
      </c>
      <c r="E3" s="19"/>
    </row>
    <row r="4" spans="1:7" s="1" customFormat="1" ht="12" customHeight="1" x14ac:dyDescent="0.2">
      <c r="A4" s="19">
        <v>3</v>
      </c>
      <c r="B4" s="19" t="s">
        <v>370</v>
      </c>
      <c r="C4" s="19" t="s">
        <v>361</v>
      </c>
      <c r="D4" s="19">
        <v>3</v>
      </c>
      <c r="E4" s="19"/>
    </row>
    <row r="5" spans="1:7" s="1" customFormat="1" ht="12" customHeight="1" x14ac:dyDescent="0.2">
      <c r="A5" s="19">
        <v>4</v>
      </c>
      <c r="B5" s="19" t="s">
        <v>371</v>
      </c>
      <c r="C5" s="19" t="s">
        <v>362</v>
      </c>
      <c r="D5" s="19">
        <v>3</v>
      </c>
      <c r="E5" s="19"/>
    </row>
    <row r="6" spans="1:7" s="1" customFormat="1" ht="12" customHeight="1" x14ac:dyDescent="0.2">
      <c r="A6" s="19">
        <v>5</v>
      </c>
      <c r="B6" s="19" t="s">
        <v>372</v>
      </c>
      <c r="C6" s="19" t="s">
        <v>363</v>
      </c>
      <c r="D6" s="19">
        <v>5</v>
      </c>
      <c r="E6" s="19"/>
    </row>
    <row r="7" spans="1:7" s="1" customFormat="1" ht="12" customHeight="1" x14ac:dyDescent="0.2">
      <c r="A7" s="19">
        <v>6</v>
      </c>
      <c r="B7" s="19" t="s">
        <v>373</v>
      </c>
      <c r="C7" s="19" t="s">
        <v>364</v>
      </c>
      <c r="D7" s="19">
        <v>4</v>
      </c>
      <c r="E7" s="19"/>
    </row>
    <row r="8" spans="1:7" s="1" customFormat="1" ht="12" customHeight="1" x14ac:dyDescent="0.2">
      <c r="A8" s="19">
        <v>7</v>
      </c>
      <c r="B8" s="19" t="s">
        <v>374</v>
      </c>
      <c r="C8" s="19" t="s">
        <v>365</v>
      </c>
      <c r="D8" s="19">
        <v>3</v>
      </c>
      <c r="E8" s="19"/>
    </row>
    <row r="9" spans="1:7" s="1" customFormat="1" ht="12" customHeight="1" x14ac:dyDescent="0.2">
      <c r="A9" s="19">
        <v>8</v>
      </c>
      <c r="B9" s="19" t="s">
        <v>375</v>
      </c>
      <c r="C9" s="19" t="s">
        <v>366</v>
      </c>
      <c r="D9" s="19">
        <v>2</v>
      </c>
      <c r="E9" s="19"/>
    </row>
    <row r="10" spans="1:7" s="1" customFormat="1" ht="12" customHeight="1" x14ac:dyDescent="0.2">
      <c r="A10" s="19">
        <v>9</v>
      </c>
      <c r="B10" s="19" t="s">
        <v>376</v>
      </c>
      <c r="C10" s="19" t="s">
        <v>367</v>
      </c>
      <c r="D10" s="19">
        <v>1</v>
      </c>
      <c r="E10" s="19"/>
    </row>
  </sheetData>
  <hyperlinks>
    <hyperlink ref="E1" location="Object!A1" display="__Object" xr:uid="{BC3D8478-D4C6-4A74-B0BD-031704ADD633}"/>
    <hyperlink ref="A1" location="Список!A1" display="id" xr:uid="{EFC6C4B2-AC9C-4E96-9B30-BC9A7EA41373}"/>
    <hyperlink ref="D1" location="Category!A1" display="Category_instance" xr:uid="{B2AD1552-695C-4ED4-8E43-CB5843C744EC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F589C-61FC-487F-8BD0-434C93162065}">
  <sheetPr codeName="Лист24"/>
  <dimension ref="A1:M32"/>
  <sheetViews>
    <sheetView workbookViewId="0">
      <selection activeCell="F33" sqref="F33"/>
    </sheetView>
  </sheetViews>
  <sheetFormatPr defaultRowHeight="15" x14ac:dyDescent="0.25"/>
  <cols>
    <col min="1" max="1" width="3" style="12" customWidth="1"/>
    <col min="2" max="2" width="5" style="12" customWidth="1"/>
    <col min="3" max="3" width="13.5703125" bestFit="1" customWidth="1"/>
    <col min="4" max="4" width="2.5703125" bestFit="1" customWidth="1"/>
    <col min="5" max="5" width="18.85546875" style="1" bestFit="1" customWidth="1"/>
    <col min="6" max="6" width="14.5703125" style="1" bestFit="1" customWidth="1"/>
    <col min="7" max="8" width="21.5703125" style="1" bestFit="1" customWidth="1"/>
    <col min="9" max="9" width="20.140625" style="1" bestFit="1" customWidth="1"/>
    <col min="10" max="10" width="15.5703125" style="1" bestFit="1" customWidth="1"/>
    <col min="11" max="11" width="15" style="1" bestFit="1" customWidth="1"/>
    <col min="12" max="12" width="15.42578125" style="1" bestFit="1" customWidth="1"/>
    <col min="13" max="13" width="8" customWidth="1"/>
  </cols>
  <sheetData>
    <row r="1" spans="1:13" ht="12" customHeight="1" x14ac:dyDescent="0.25">
      <c r="A1" s="7" t="s">
        <v>391</v>
      </c>
      <c r="B1" s="6" t="s">
        <v>392</v>
      </c>
      <c r="C1" s="1"/>
    </row>
    <row r="2" spans="1:13" ht="12" customHeight="1" x14ac:dyDescent="0.25">
      <c r="A2" s="6">
        <v>1</v>
      </c>
      <c r="B2" s="7" t="s">
        <v>209</v>
      </c>
      <c r="C2" s="21" t="str">
        <f>INDEX(Список_листов, COUNTA($B$2:B2))</f>
        <v>Object</v>
      </c>
      <c r="D2" s="38" t="str">
        <f>IF(AND(LEFT(Object!A1,2)&lt;&gt;"__",LEFT(Object!A1,2)&lt;&gt;""),Object!A1,"")</f>
        <v>id</v>
      </c>
      <c r="E2" s="19" t="str">
        <f>IF(AND(LEFT(Object!B1,2)&lt;&gt;"__",LEFT(Object!B1,2)&lt;&gt;""),Object!B1,"")</f>
        <v>object_number</v>
      </c>
      <c r="F2" s="19" t="str">
        <f>IF(AND(LEFT(Object!C1,2)&lt;&gt;"__",LEFT(Object!C1,2)&lt;&gt;""),Object!C1,"")</f>
        <v>object_name</v>
      </c>
      <c r="G2" s="19" t="str">
        <f>IF(AND(LEFT(Object!D1,2)&lt;&gt;"__",LEFT(Object!D1,2)&lt;&gt;""),Object!D1,"")</f>
        <v>object_address</v>
      </c>
      <c r="H2" s="39" t="str">
        <f>IF(AND(LEFT(Object!E1,2)&lt;&gt;"__",LEFT(Object!E1,2)&lt;&gt;""),Object!E1,"")</f>
        <v>Project_instance</v>
      </c>
      <c r="I2" s="19" t="str">
        <f>IF(AND(LEFT(Object!F1,2)&lt;&gt;"__",LEFT(Object!F1,2)&lt;&gt;""),Object!F1,"")</f>
        <v/>
      </c>
      <c r="J2" s="19" t="str">
        <f>IF(AND(LEFT(Object!G1,2)&lt;&gt;"__",LEFT(Object!G1,2)&lt;&gt;""),Object!G1,"")</f>
        <v/>
      </c>
      <c r="K2" s="19" t="str">
        <f>IF(AND(LEFT(Object!H1,2)&lt;&gt;"__",LEFT(Object!H1,2)&lt;&gt;""),Object!H1,"")</f>
        <v/>
      </c>
      <c r="L2" s="19" t="str">
        <f>IF(AND(LEFT(Object!I1,2)&lt;&gt;"__",LEFT(Object!I1,2)&lt;&gt;""),Object!I1,"")</f>
        <v/>
      </c>
      <c r="M2" t="e">
        <f>LEN(_xlfn.CONCAT(Список!#REF!))</f>
        <v>#REF!</v>
      </c>
    </row>
    <row r="3" spans="1:13" ht="12" customHeight="1" x14ac:dyDescent="0.25">
      <c r="A3" s="6">
        <v>1</v>
      </c>
      <c r="B3" s="7" t="s">
        <v>210</v>
      </c>
      <c r="C3" s="21" t="str">
        <f>INDEX(Список_листов, COUNTA($B$2:B3))</f>
        <v>Project</v>
      </c>
      <c r="D3" s="38" t="str">
        <f>Project!A1</f>
        <v>id</v>
      </c>
      <c r="E3" s="19" t="str">
        <f>Project!B1</f>
        <v>project_number</v>
      </c>
      <c r="F3" s="19" t="str">
        <f>Project!C1</f>
        <v>project_name</v>
      </c>
      <c r="G3" s="39" t="str">
        <f>Project!D1</f>
        <v>Spec_instance</v>
      </c>
      <c r="H3" s="39" t="str">
        <f>Project!E1</f>
        <v>DocList_instance</v>
      </c>
      <c r="I3" s="39" t="str">
        <f>Project!F1</f>
        <v>WorkList_instance</v>
      </c>
      <c r="J3" s="39" t="str">
        <f>Project!G1</f>
        <v>EquipList_instance</v>
      </c>
      <c r="K3" s="39" t="str">
        <f>Project!H1</f>
        <v>MatList_instance</v>
      </c>
      <c r="L3" s="39" t="str">
        <f>Project!I1</f>
        <v>CableList_instance</v>
      </c>
      <c r="M3" t="e">
        <f>LEN(_xlfn.CONCAT(Список!#REF!))</f>
        <v>#REF!</v>
      </c>
    </row>
    <row r="4" spans="1:13" ht="12" customHeight="1" x14ac:dyDescent="0.25">
      <c r="A4" s="6">
        <v>1</v>
      </c>
      <c r="B4" s="7" t="s">
        <v>211</v>
      </c>
      <c r="C4" s="21" t="str">
        <f>INDEX(Список_листов, COUNTA($B$2:B4))</f>
        <v>DocList</v>
      </c>
      <c r="D4" s="38" t="str">
        <f>DocList!A1</f>
        <v>id</v>
      </c>
      <c r="E4" s="19" t="str">
        <f>DocList!B1</f>
        <v>doclist_number</v>
      </c>
      <c r="F4" s="19" t="str">
        <f>DocList!C1</f>
        <v>doclist_name</v>
      </c>
      <c r="G4" s="39" t="str">
        <f>DocList!D1</f>
        <v>DocListRecord_instance</v>
      </c>
      <c r="H4" s="19"/>
      <c r="I4" s="19"/>
      <c r="J4" s="19"/>
      <c r="K4" s="19"/>
      <c r="L4" s="19"/>
      <c r="M4" t="e">
        <f>LEN(_xlfn.CONCAT(Список!#REF!))</f>
        <v>#REF!</v>
      </c>
    </row>
    <row r="5" spans="1:13" ht="12" customHeight="1" x14ac:dyDescent="0.25">
      <c r="A5" s="6">
        <v>1</v>
      </c>
      <c r="B5" s="7" t="s">
        <v>212</v>
      </c>
      <c r="C5" s="21" t="str">
        <f>INDEX(Список_листов, COUNTA($B$2:B5))</f>
        <v>DocListRecord</v>
      </c>
      <c r="D5" s="38" t="str">
        <f>DocListRecord!A1</f>
        <v>id</v>
      </c>
      <c r="E5" s="19" t="str">
        <f>DocListRecord!B1</f>
        <v>record_number</v>
      </c>
      <c r="F5" s="19" t="str">
        <f>DocListRecord!C1</f>
        <v>doc_number</v>
      </c>
      <c r="G5" s="19" t="str">
        <f>DocListRecord!D1</f>
        <v>doc_name</v>
      </c>
      <c r="H5" s="19" t="str">
        <f>DocListRecord!E1</f>
        <v>sheets_count</v>
      </c>
      <c r="I5" s="19" t="str">
        <f>DocListRecord!F1</f>
        <v>doc_revision</v>
      </c>
      <c r="J5" s="19" t="str">
        <f>DocListRecord!G1</f>
        <v>date_last_revison</v>
      </c>
      <c r="K5" s="39" t="e">
        <f>DocListRecord!#REF!</f>
        <v>#REF!</v>
      </c>
      <c r="L5" s="19"/>
      <c r="M5" t="e">
        <f>LEN(_xlfn.CONCAT(Список!#REF!))</f>
        <v>#REF!</v>
      </c>
    </row>
    <row r="6" spans="1:13" ht="12" customHeight="1" x14ac:dyDescent="0.25">
      <c r="A6" s="6">
        <v>1</v>
      </c>
      <c r="B6" s="7" t="s">
        <v>41</v>
      </c>
      <c r="C6" s="21" t="str">
        <f>INDEX(Список_листов, COUNTA($B$2:B6))</f>
        <v>DocType</v>
      </c>
      <c r="D6" s="38" t="str">
        <f>DocType!A1</f>
        <v>id</v>
      </c>
      <c r="E6" s="39" t="str">
        <f>DocType!L1</f>
        <v>DocTypeType_instance</v>
      </c>
      <c r="F6" s="19" t="str">
        <f>DocType!M1</f>
        <v>doctype_name</v>
      </c>
      <c r="G6" s="19" t="str">
        <f>DocType!N1</f>
        <v>doctype_number</v>
      </c>
      <c r="H6" s="19"/>
      <c r="I6" s="19"/>
      <c r="J6" s="19"/>
      <c r="K6" s="19"/>
      <c r="L6" s="19"/>
      <c r="M6" t="e">
        <f>LEN(_xlfn.CONCAT(Список!#REF!))</f>
        <v>#REF!</v>
      </c>
    </row>
    <row r="7" spans="1:13" ht="12" customHeight="1" x14ac:dyDescent="0.25">
      <c r="A7" s="6">
        <v>1</v>
      </c>
      <c r="B7" s="7" t="s">
        <v>58</v>
      </c>
      <c r="C7" s="21" t="str">
        <f>INDEX(Список_листов, COUNTA($B$2:B7))</f>
        <v>DocTypeType</v>
      </c>
      <c r="D7" s="38" t="str">
        <f>DocTypeType!B1</f>
        <v>id</v>
      </c>
      <c r="E7" s="19" t="str">
        <f>DocTypeType!D1</f>
        <v>typetype</v>
      </c>
      <c r="F7" s="19"/>
      <c r="G7" s="19"/>
      <c r="H7" s="19"/>
      <c r="I7" s="19"/>
      <c r="J7" s="19"/>
      <c r="K7" s="19"/>
      <c r="L7" s="19"/>
      <c r="M7" t="e">
        <f>LEN(_xlfn.CONCAT(Список!#REF!))</f>
        <v>#REF!</v>
      </c>
    </row>
    <row r="8" spans="1:13" ht="12" customHeight="1" x14ac:dyDescent="0.25">
      <c r="A8" s="6">
        <v>1</v>
      </c>
      <c r="B8" s="7" t="s">
        <v>213</v>
      </c>
      <c r="C8" s="21" t="str">
        <f>INDEX(Список_листов, COUNTA($B$2:B8))</f>
        <v>Spec</v>
      </c>
      <c r="D8" s="38" t="str">
        <f>Spec!A1</f>
        <v>id</v>
      </c>
      <c r="E8" s="19" t="str">
        <f>Spec!B1</f>
        <v>doc_number</v>
      </c>
      <c r="F8" s="19" t="str">
        <f>Spec!C1</f>
        <v>doc_name</v>
      </c>
      <c r="G8" s="39" t="str">
        <f>Spec!D1</f>
        <v>SpecRecord_instance</v>
      </c>
      <c r="H8" s="19"/>
      <c r="I8" s="19"/>
      <c r="J8" s="19"/>
      <c r="K8" s="19"/>
      <c r="L8" s="19"/>
      <c r="M8" t="e">
        <f>LEN(_xlfn.CONCAT(Список!#REF!))</f>
        <v>#REF!</v>
      </c>
    </row>
    <row r="9" spans="1:13" ht="12" customHeight="1" x14ac:dyDescent="0.25">
      <c r="A9" s="6">
        <v>1</v>
      </c>
      <c r="B9" s="7" t="s">
        <v>214</v>
      </c>
      <c r="C9" s="21" t="str">
        <f>INDEX(Список_листов, COUNTA($B$2:B9))</f>
        <v>SpecRecord</v>
      </c>
      <c r="D9" s="38" t="str">
        <f>SpecRecord!A1</f>
        <v>id</v>
      </c>
      <c r="E9" s="19" t="str">
        <f>SpecRecord!B1</f>
        <v>record_number</v>
      </c>
      <c r="F9" s="19" t="str">
        <f>SpecRecord!C1</f>
        <v>value</v>
      </c>
      <c r="G9" s="39" t="str">
        <f>SpecRecord!D1</f>
        <v>Material_instance</v>
      </c>
      <c r="H9" s="39" t="str">
        <f>SpecRecord!E1</f>
        <v>Cable_instance</v>
      </c>
      <c r="I9" s="39" t="str">
        <f>SpecRecord!F1</f>
        <v>Equipment_instance</v>
      </c>
      <c r="J9" s="39" t="str">
        <f>SpecRecord!G1</f>
        <v>UnitType_instance</v>
      </c>
      <c r="K9" s="19"/>
      <c r="L9" s="19"/>
      <c r="M9" t="e">
        <f>LEN(_xlfn.CONCAT(Список!#REF!))</f>
        <v>#REF!</v>
      </c>
    </row>
    <row r="10" spans="1:13" ht="12" customHeight="1" x14ac:dyDescent="0.25">
      <c r="A10" s="6">
        <v>1</v>
      </c>
      <c r="B10" s="7" t="s">
        <v>215</v>
      </c>
      <c r="C10" s="21" t="str">
        <f>INDEX(Список_листов, COUNTA($B$2:B10))</f>
        <v>UnitType</v>
      </c>
      <c r="D10" s="38" t="str">
        <f>UnitType!A1</f>
        <v>id</v>
      </c>
      <c r="E10" s="19" t="str">
        <f>UnitType!B1</f>
        <v>unittype_name</v>
      </c>
      <c r="F10" s="19"/>
      <c r="G10" s="19"/>
      <c r="H10" s="19"/>
      <c r="I10" s="19"/>
      <c r="J10" s="19"/>
      <c r="K10" s="19"/>
      <c r="L10" s="19"/>
      <c r="M10" t="e">
        <f>LEN(_xlfn.CONCAT(Список!#REF!))</f>
        <v>#REF!</v>
      </c>
    </row>
    <row r="11" spans="1:13" ht="12" customHeight="1" x14ac:dyDescent="0.25">
      <c r="A11" s="6">
        <v>1</v>
      </c>
      <c r="B11" s="7" t="s">
        <v>216</v>
      </c>
      <c r="C11" s="21" t="str">
        <f>INDEX(Список_листов, COUNTA($B$2:B11))</f>
        <v>EquipList</v>
      </c>
      <c r="D11" s="38" t="str">
        <f>EquipList!A1</f>
        <v>id</v>
      </c>
      <c r="E11" s="19" t="str">
        <f>EquipList!B1</f>
        <v>doc_number</v>
      </c>
      <c r="F11" s="19" t="str">
        <f>EquipList!C1</f>
        <v>doc_name</v>
      </c>
      <c r="G11" s="19" t="str">
        <f>EquipList!D1</f>
        <v>EquipListRecord_instance</v>
      </c>
      <c r="H11" s="19"/>
      <c r="I11" s="19"/>
      <c r="J11" s="19"/>
      <c r="K11" s="19"/>
      <c r="L11" s="19"/>
      <c r="M11" t="e">
        <f>LEN(_xlfn.CONCAT(Список!#REF!))</f>
        <v>#REF!</v>
      </c>
    </row>
    <row r="12" spans="1:13" ht="12" customHeight="1" x14ac:dyDescent="0.25">
      <c r="A12" s="6">
        <v>1</v>
      </c>
      <c r="B12" s="7" t="s">
        <v>217</v>
      </c>
      <c r="C12" s="21" t="str">
        <f>INDEX(Список_листов, COUNTA($B$2:B12))</f>
        <v>EquipListRecord</v>
      </c>
      <c r="D12" s="38" t="str">
        <f>EquipListRecord!A1</f>
        <v>id</v>
      </c>
      <c r="E12" s="19" t="str">
        <f>EquipListRecord!B1</f>
        <v>record_number</v>
      </c>
      <c r="F12" s="19" t="str">
        <f>EquipListRecord!C1</f>
        <v>value</v>
      </c>
      <c r="G12" s="19" t="str">
        <f>EquipListRecord!D1</f>
        <v>Equipment_instance</v>
      </c>
      <c r="H12" s="19" t="str">
        <f>EquipListRecord!E1</f>
        <v>UnitType_instance</v>
      </c>
      <c r="I12" s="19"/>
      <c r="J12" s="19"/>
      <c r="K12" s="19"/>
      <c r="L12" s="19"/>
      <c r="M12" t="e">
        <f>LEN(_xlfn.CONCAT(Список!#REF!))</f>
        <v>#REF!</v>
      </c>
    </row>
    <row r="13" spans="1:13" ht="12" customHeight="1" x14ac:dyDescent="0.25">
      <c r="A13" s="6">
        <v>1</v>
      </c>
      <c r="B13" s="7" t="s">
        <v>218</v>
      </c>
      <c r="C13" s="21" t="str">
        <f>INDEX(Список_листов, COUNTA($B$2:B13))</f>
        <v>Equipment</v>
      </c>
      <c r="D13" s="38" t="str">
        <f>Equipment!A1</f>
        <v>id</v>
      </c>
      <c r="E13" s="19" t="str">
        <f>Equipment!B1</f>
        <v>equipment_number</v>
      </c>
      <c r="F13" s="19" t="str">
        <f>Equipment!C1</f>
        <v>equipment_name</v>
      </c>
      <c r="G13" s="39" t="str">
        <f>Equipment!D1</f>
        <v>Category_instance</v>
      </c>
      <c r="H13" s="19"/>
      <c r="I13" s="19"/>
      <c r="J13" s="19"/>
      <c r="K13" s="19"/>
      <c r="L13" s="19"/>
      <c r="M13" t="e">
        <f>LEN(_xlfn.CONCAT(Список!#REF!))</f>
        <v>#REF!</v>
      </c>
    </row>
    <row r="14" spans="1:13" ht="12" customHeight="1" x14ac:dyDescent="0.25">
      <c r="A14" s="6">
        <v>1</v>
      </c>
      <c r="B14" s="7" t="s">
        <v>219</v>
      </c>
      <c r="C14" s="21" t="str">
        <f>INDEX(Список_листов, COUNTA($B$2:B14))</f>
        <v>Category</v>
      </c>
      <c r="D14" s="38" t="str">
        <f>Category!A1</f>
        <v>id</v>
      </c>
      <c r="E14" s="19" t="str">
        <f>Category!C1</f>
        <v>category_name</v>
      </c>
      <c r="F14" s="19"/>
      <c r="G14" s="19"/>
      <c r="H14" s="19"/>
      <c r="I14" s="19"/>
      <c r="J14" s="19"/>
      <c r="K14" s="19"/>
      <c r="L14" s="19"/>
      <c r="M14" t="e">
        <f>LEN(_xlfn.CONCAT(Список!#REF!))</f>
        <v>#REF!</v>
      </c>
    </row>
    <row r="15" spans="1:13" ht="12" customHeight="1" x14ac:dyDescent="0.25">
      <c r="A15" s="6">
        <v>1</v>
      </c>
      <c r="B15" s="7" t="s">
        <v>220</v>
      </c>
      <c r="C15" s="21" t="str">
        <f>INDEX(Список_листов, COUNTA($B$2:B15))</f>
        <v>MatList</v>
      </c>
      <c r="D15" s="38" t="str">
        <f>MatList!A1</f>
        <v>id</v>
      </c>
      <c r="E15" s="19" t="str">
        <f>MatList!B1</f>
        <v>doc_number</v>
      </c>
      <c r="F15" s="19" t="str">
        <f>MatList!C1</f>
        <v>doc_name</v>
      </c>
      <c r="G15" s="19" t="str">
        <f>MatList!D1</f>
        <v>MatListRecord_instance</v>
      </c>
      <c r="H15" s="19"/>
      <c r="I15" s="19"/>
      <c r="J15" s="19"/>
      <c r="K15" s="19"/>
      <c r="L15" s="19"/>
      <c r="M15" t="e">
        <f>LEN(_xlfn.CONCAT(Список!#REF!))</f>
        <v>#REF!</v>
      </c>
    </row>
    <row r="16" spans="1:13" ht="12" customHeight="1" x14ac:dyDescent="0.25">
      <c r="A16" s="6">
        <v>1</v>
      </c>
      <c r="B16" s="7" t="s">
        <v>222</v>
      </c>
      <c r="C16" s="21" t="str">
        <f>INDEX(Список_листов, COUNTA($B$2:B16))</f>
        <v>MatListRecord</v>
      </c>
      <c r="D16" s="38" t="str">
        <f>MatListRecord!A1</f>
        <v>id</v>
      </c>
      <c r="E16" s="19" t="str">
        <f>MatListRecord!B1</f>
        <v>record_number</v>
      </c>
      <c r="F16" s="19" t="str">
        <f>MatListRecord!C1</f>
        <v>value</v>
      </c>
      <c r="G16" s="19" t="str">
        <f>MatListRecord!D1</f>
        <v>Material_instance</v>
      </c>
      <c r="H16" s="19" t="str">
        <f>MatListRecord!E1</f>
        <v>UnitType_instance</v>
      </c>
      <c r="I16" s="19"/>
      <c r="J16" s="19"/>
      <c r="K16" s="19"/>
      <c r="L16" s="19"/>
      <c r="M16" t="e">
        <f>LEN(_xlfn.CONCAT(Список!#REF!))</f>
        <v>#REF!</v>
      </c>
    </row>
    <row r="17" spans="1:13" ht="12" customHeight="1" x14ac:dyDescent="0.25">
      <c r="A17" s="6">
        <v>1</v>
      </c>
      <c r="B17" s="7" t="s">
        <v>221</v>
      </c>
      <c r="C17" s="21" t="str">
        <f>INDEX(Список_листов, COUNTA($B$2:B17))</f>
        <v>Material</v>
      </c>
      <c r="D17" s="38" t="str">
        <f>Material!A1</f>
        <v>id</v>
      </c>
      <c r="E17" s="19" t="str">
        <f>Material!B1</f>
        <v>material_number</v>
      </c>
      <c r="F17" s="19" t="str">
        <f>Material!C1</f>
        <v>material_name</v>
      </c>
      <c r="G17" s="19" t="str">
        <f>Material!D1</f>
        <v>flowrate</v>
      </c>
      <c r="H17" s="19" t="str">
        <f>Material!E1</f>
        <v>Category_instance</v>
      </c>
      <c r="I17" s="19"/>
      <c r="J17" s="19"/>
      <c r="K17" s="19"/>
      <c r="L17" s="19"/>
      <c r="M17" t="e">
        <f>LEN(_xlfn.CONCAT(Список!#REF!))</f>
        <v>#REF!</v>
      </c>
    </row>
    <row r="18" spans="1:13" ht="12" customHeight="1" x14ac:dyDescent="0.25">
      <c r="A18" s="6">
        <v>1</v>
      </c>
      <c r="B18" s="7" t="s">
        <v>223</v>
      </c>
      <c r="C18" s="21" t="str">
        <f>INDEX(Список_листов, COUNTA($B$2:B18))</f>
        <v>CableList</v>
      </c>
      <c r="D18" s="38" t="str">
        <f>CableList!A1</f>
        <v>id</v>
      </c>
      <c r="E18" s="19" t="str">
        <f>CableList!B1</f>
        <v>doc_number</v>
      </c>
      <c r="F18" s="19" t="str">
        <f>CableList!C1</f>
        <v>doc_name</v>
      </c>
      <c r="G18" s="19" t="str">
        <f>CableList!D1</f>
        <v>CableListRecord_instance</v>
      </c>
      <c r="H18" s="19"/>
      <c r="I18" s="19"/>
      <c r="J18" s="19"/>
      <c r="K18" s="19"/>
      <c r="L18" s="19"/>
      <c r="M18" t="e">
        <f>LEN(_xlfn.CONCAT(Список!#REF!))</f>
        <v>#REF!</v>
      </c>
    </row>
    <row r="19" spans="1:13" ht="12" customHeight="1" x14ac:dyDescent="0.25">
      <c r="A19" s="6">
        <v>1</v>
      </c>
      <c r="B19" s="7" t="s">
        <v>224</v>
      </c>
      <c r="C19" s="21" t="str">
        <f>INDEX(Список_листов, COUNTA($B$2:B19))</f>
        <v>CableListRecord</v>
      </c>
      <c r="D19" s="38" t="str">
        <f>CableListRecord!A1</f>
        <v>id</v>
      </c>
      <c r="E19" s="19" t="str">
        <f>CableListRecord!B1</f>
        <v>record_number</v>
      </c>
      <c r="F19" s="19" t="str">
        <f>CableListRecord!C1</f>
        <v>value</v>
      </c>
      <c r="G19" s="19" t="str">
        <f>CableListRecord!D1</f>
        <v>Cable_instance</v>
      </c>
      <c r="H19" s="19" t="str">
        <f>CableListRecord!E1</f>
        <v>UnitType_instance</v>
      </c>
      <c r="I19" s="19"/>
      <c r="J19" s="19"/>
      <c r="K19" s="19"/>
      <c r="L19" s="19"/>
      <c r="M19" t="e">
        <f>LEN(_xlfn.CONCAT(Список!#REF!))</f>
        <v>#REF!</v>
      </c>
    </row>
    <row r="20" spans="1:13" ht="12" customHeight="1" x14ac:dyDescent="0.25">
      <c r="A20" s="6">
        <v>1</v>
      </c>
      <c r="B20" s="7" t="s">
        <v>225</v>
      </c>
      <c r="C20" s="21" t="str">
        <f>INDEX(Список_листов, COUNTA($B$2:B20))</f>
        <v>Cable</v>
      </c>
      <c r="D20" s="38" t="str">
        <f>Cable!A1</f>
        <v>id</v>
      </c>
      <c r="E20" s="19" t="str">
        <f>Cable!B1</f>
        <v>cable_number</v>
      </c>
      <c r="F20" s="19" t="str">
        <f>Cable!C1</f>
        <v>cable_name</v>
      </c>
      <c r="G20" s="19" t="str">
        <f>Cable!E1</f>
        <v>Category_instance</v>
      </c>
      <c r="H20" s="19"/>
      <c r="I20" s="19"/>
      <c r="J20" s="19"/>
      <c r="K20" s="19"/>
      <c r="L20" s="19"/>
      <c r="M20" t="e">
        <f>LEN(_xlfn.CONCAT(Список!#REF!))</f>
        <v>#REF!</v>
      </c>
    </row>
    <row r="21" spans="1:13" ht="12" customHeight="1" x14ac:dyDescent="0.25">
      <c r="A21" s="6">
        <v>1</v>
      </c>
      <c r="B21" s="7" t="s">
        <v>226</v>
      </c>
      <c r="C21" s="21" t="str">
        <f>INDEX(Список_листов, COUNTA($B$2:B21))</f>
        <v>WorkList</v>
      </c>
      <c r="D21" s="38" t="str">
        <f>WorkList!A1</f>
        <v>id</v>
      </c>
      <c r="E21" s="19" t="str">
        <f>WorkList!B1</f>
        <v>doc_number</v>
      </c>
      <c r="F21" s="19" t="str">
        <f>WorkList!C1</f>
        <v>doc_name</v>
      </c>
      <c r="G21" s="19" t="str">
        <f>WorkList!D1</f>
        <v>WorkListRecord_instance</v>
      </c>
      <c r="H21" s="19"/>
      <c r="I21" s="19"/>
      <c r="J21" s="19"/>
      <c r="K21" s="19"/>
      <c r="L21" s="19"/>
      <c r="M21" t="e">
        <f>LEN(_xlfn.CONCAT(Список!#REF!))</f>
        <v>#REF!</v>
      </c>
    </row>
    <row r="22" spans="1:13" ht="12" customHeight="1" x14ac:dyDescent="0.25">
      <c r="A22" s="6">
        <v>1</v>
      </c>
      <c r="B22" s="7" t="s">
        <v>227</v>
      </c>
      <c r="C22" s="21" t="str">
        <f>INDEX(Список_листов, COUNTA($B$2:B22))</f>
        <v>WorkListRecord</v>
      </c>
      <c r="D22" s="38" t="str">
        <f>WorkListRecord!A1</f>
        <v>id</v>
      </c>
      <c r="E22" s="19" t="str">
        <f>WorkListRecord!B1</f>
        <v>record_number</v>
      </c>
      <c r="F22" s="19" t="str">
        <f>WorkListRecord!C1</f>
        <v>value</v>
      </c>
      <c r="G22" s="19" t="str">
        <f>WorkListRecord!D1</f>
        <v>Work_instance</v>
      </c>
      <c r="H22" s="19" t="str">
        <f>WorkListRecord!E1</f>
        <v>EquipListRecord_instance</v>
      </c>
      <c r="I22" s="19" t="str">
        <f>WorkListRecord!F1</f>
        <v>MatListRecord_instance</v>
      </c>
      <c r="J22" s="19" t="str">
        <f>WorkListRecord!G1</f>
        <v>UnitType_instance</v>
      </c>
      <c r="K22" s="19"/>
      <c r="L22" s="19"/>
      <c r="M22" t="e">
        <f>LEN(_xlfn.CONCAT(Список!#REF!))</f>
        <v>#REF!</v>
      </c>
    </row>
    <row r="23" spans="1:13" ht="12" customHeight="1" x14ac:dyDescent="0.25">
      <c r="A23" s="6">
        <v>1</v>
      </c>
      <c r="B23" s="7" t="s">
        <v>228</v>
      </c>
      <c r="C23" s="21" t="str">
        <f>INDEX(Список_листов, COUNTA($B$2:B23))</f>
        <v>Work</v>
      </c>
      <c r="D23" s="38" t="str">
        <f>Work!A1</f>
        <v>id</v>
      </c>
      <c r="E23" s="19" t="str">
        <f>Work!B1</f>
        <v>work_number</v>
      </c>
      <c r="F23" s="19" t="str">
        <f>Work!C1</f>
        <v>work_name</v>
      </c>
      <c r="G23" s="19" t="str">
        <f>Work!D1</f>
        <v>Category_instance</v>
      </c>
      <c r="H23" s="19"/>
      <c r="I23" s="19"/>
      <c r="J23" s="19"/>
      <c r="K23" s="19"/>
      <c r="L23" s="19"/>
      <c r="M23" t="e">
        <f>LEN(_xlfn.CONCAT(Список!#REF!))</f>
        <v>#REF!</v>
      </c>
    </row>
    <row r="24" spans="1:13" ht="12" customHeight="1" x14ac:dyDescent="0.25">
      <c r="A24" s="6">
        <v>1</v>
      </c>
      <c r="B24" s="7" t="s">
        <v>207</v>
      </c>
      <c r="C24" s="7" t="s">
        <v>207</v>
      </c>
      <c r="M24" t="e">
        <f>SUM(M2:M23)</f>
        <v>#REF!</v>
      </c>
    </row>
    <row r="25" spans="1:13" x14ac:dyDescent="0.25">
      <c r="A25" s="6">
        <v>1</v>
      </c>
      <c r="B25" s="7" t="s">
        <v>393</v>
      </c>
      <c r="C25" s="1" t="s">
        <v>393</v>
      </c>
    </row>
    <row r="26" spans="1:13" x14ac:dyDescent="0.25">
      <c r="C26" s="1" t="s">
        <v>394</v>
      </c>
      <c r="E26" s="7" t="str">
        <f>_xlfn.TEXTJOIN(",",1,C4,C6,C8,C11,C15,C18,C21)</f>
        <v>DocList,DocType,Spec,EquipList,MatList,CableList,WorkList</v>
      </c>
    </row>
    <row r="27" spans="1:13" x14ac:dyDescent="0.25">
      <c r="C27" s="1" t="s">
        <v>395</v>
      </c>
      <c r="E27" s="1" t="str">
        <f>_xlfn.TEXTJOIN(",",1,C5,C9,C12,C16,C19,C22)</f>
        <v>DocListRecord,SpecRecord,EquipListRecord,MatListRecord,CableListRecord,WorkListRecord</v>
      </c>
    </row>
    <row r="28" spans="1:13" x14ac:dyDescent="0.25">
      <c r="C28" s="1" t="s">
        <v>396</v>
      </c>
      <c r="E28" s="1" t="str">
        <f>_xlfn.TEXTJOIN(",",1,C13,C17,C20,C23)</f>
        <v>Equipment,Material,Cable,Work</v>
      </c>
    </row>
    <row r="29" spans="1:13" x14ac:dyDescent="0.25">
      <c r="C29" s="1" t="s">
        <v>218</v>
      </c>
      <c r="E29" s="1" t="str">
        <f>_xlfn.TEXTJOIN(",",1,C11,C12,C13)</f>
        <v>EquipList,EquipListRecord,Equipment</v>
      </c>
    </row>
    <row r="30" spans="1:13" x14ac:dyDescent="0.25">
      <c r="C30" s="1" t="s">
        <v>221</v>
      </c>
      <c r="E30" s="1" t="str">
        <f>_xlfn.TEXTJOIN(",",1,C15,C16,C17)</f>
        <v>MatList,MatListRecord,Material</v>
      </c>
    </row>
    <row r="31" spans="1:13" x14ac:dyDescent="0.25">
      <c r="C31" s="1" t="s">
        <v>228</v>
      </c>
      <c r="E31" s="1" t="str">
        <f>_xlfn.TEXTJOIN(",",1,C21,C22,C23)</f>
        <v>WorkList,WorkListRecord,Work</v>
      </c>
    </row>
    <row r="32" spans="1:13" x14ac:dyDescent="0.25">
      <c r="C32" s="1" t="s">
        <v>397</v>
      </c>
      <c r="E32" s="1" t="str">
        <f>_xlfn.TEXTJOIN(",",1,C2:C23)</f>
        <v>Object,Project,DocList,DocListRecord,DocType,DocTypeType,Spec,SpecRecord,UnitType,EquipList,EquipListRecord,Equipment,Category,MatList,MatListRecord,Material,CableList,CableListRecord,Cable,WorkList,WorkListRecord,Work</v>
      </c>
    </row>
  </sheetData>
  <autoFilter ref="A1:B24" xr:uid="{AED04593-12B5-4DCD-94EE-C09B1A5367C0}"/>
  <conditionalFormatting sqref="D2:L23">
    <cfRule type="endsWith" dxfId="280" priority="2" operator="endsWith" text="_instance">
      <formula>RIGHT(D2,LEN("_instance"))="_instance"</formula>
    </cfRule>
  </conditionalFormatting>
  <hyperlinks>
    <hyperlink ref="C2" location="Object!A1" display="Object!A1" xr:uid="{EE08657A-E39A-4BAC-BDA7-28AD43FC7753}"/>
    <hyperlink ref="C3:C23" location="Object!A1" display="Object!A1" xr:uid="{F81A2730-36AA-4497-83E8-555AA8EEE5A7}"/>
  </hyperlink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0" r:id="rId4" name="chkAll">
          <controlPr defaultSize="0" autoLine="0" r:id="rId5">
            <anchor moveWithCells="1">
              <from>
                <xdr:col>7</xdr:col>
                <xdr:colOff>895350</xdr:colOff>
                <xdr:row>23</xdr:row>
                <xdr:rowOff>95250</xdr:rowOff>
              </from>
              <to>
                <xdr:col>7</xdr:col>
                <xdr:colOff>1343025</xdr:colOff>
                <xdr:row>24</xdr:row>
                <xdr:rowOff>180975</xdr:rowOff>
              </to>
            </anchor>
          </controlPr>
        </control>
      </mc:Choice>
      <mc:Fallback>
        <control shapeId="2060" r:id="rId4" name="chkAll"/>
      </mc:Fallback>
    </mc:AlternateContent>
    <mc:AlternateContent xmlns:mc="http://schemas.openxmlformats.org/markup-compatibility/2006">
      <mc:Choice Requires="x14">
        <control shapeId="2059" r:id="rId6" name="chkWork">
          <controlPr defaultSize="0" autoLine="0" r:id="rId7">
            <anchor moveWithCells="1">
              <from>
                <xdr:col>7</xdr:col>
                <xdr:colOff>314325</xdr:colOff>
                <xdr:row>23</xdr:row>
                <xdr:rowOff>76200</xdr:rowOff>
              </from>
              <to>
                <xdr:col>7</xdr:col>
                <xdr:colOff>847725</xdr:colOff>
                <xdr:row>24</xdr:row>
                <xdr:rowOff>161925</xdr:rowOff>
              </to>
            </anchor>
          </controlPr>
        </control>
      </mc:Choice>
      <mc:Fallback>
        <control shapeId="2059" r:id="rId6" name="chkWork"/>
      </mc:Fallback>
    </mc:AlternateContent>
    <mc:AlternateContent xmlns:mc="http://schemas.openxmlformats.org/markup-compatibility/2006">
      <mc:Choice Requires="x14">
        <control shapeId="2058" r:id="rId8" name="chkMaterial">
          <controlPr defaultSize="0" autoLine="0" r:id="rId9">
            <anchor moveWithCells="1">
              <from>
                <xdr:col>6</xdr:col>
                <xdr:colOff>990600</xdr:colOff>
                <xdr:row>23</xdr:row>
                <xdr:rowOff>76200</xdr:rowOff>
              </from>
              <to>
                <xdr:col>7</xdr:col>
                <xdr:colOff>228600</xdr:colOff>
                <xdr:row>24</xdr:row>
                <xdr:rowOff>161925</xdr:rowOff>
              </to>
            </anchor>
          </controlPr>
        </control>
      </mc:Choice>
      <mc:Fallback>
        <control shapeId="2058" r:id="rId8" name="chkMaterial"/>
      </mc:Fallback>
    </mc:AlternateContent>
    <mc:AlternateContent xmlns:mc="http://schemas.openxmlformats.org/markup-compatibility/2006">
      <mc:Choice Requires="x14">
        <control shapeId="2057" r:id="rId10" name="chkEquipment">
          <controlPr defaultSize="0" autoLine="0" r:id="rId11">
            <anchor moveWithCells="1">
              <from>
                <xdr:col>6</xdr:col>
                <xdr:colOff>123825</xdr:colOff>
                <xdr:row>23</xdr:row>
                <xdr:rowOff>85725</xdr:rowOff>
              </from>
              <to>
                <xdr:col>6</xdr:col>
                <xdr:colOff>904875</xdr:colOff>
                <xdr:row>24</xdr:row>
                <xdr:rowOff>171450</xdr:rowOff>
              </to>
            </anchor>
          </controlPr>
        </control>
      </mc:Choice>
      <mc:Fallback>
        <control shapeId="2057" r:id="rId10" name="chkEquipment"/>
      </mc:Fallback>
    </mc:AlternateContent>
    <mc:AlternateContent xmlns:mc="http://schemas.openxmlformats.org/markup-compatibility/2006">
      <mc:Choice Requires="x14">
        <control shapeId="2056" r:id="rId12" name="chkNomenclature">
          <controlPr defaultSize="0" autoLine="0" r:id="rId13">
            <anchor moveWithCells="1">
              <from>
                <xdr:col>5</xdr:col>
                <xdr:colOff>76200</xdr:colOff>
                <xdr:row>23</xdr:row>
                <xdr:rowOff>76200</xdr:rowOff>
              </from>
              <to>
                <xdr:col>6</xdr:col>
                <xdr:colOff>47625</xdr:colOff>
                <xdr:row>24</xdr:row>
                <xdr:rowOff>161925</xdr:rowOff>
              </to>
            </anchor>
          </controlPr>
        </control>
      </mc:Choice>
      <mc:Fallback>
        <control shapeId="2056" r:id="rId12" name="chkNomenclature"/>
      </mc:Fallback>
    </mc:AlternateContent>
    <mc:AlternateContent xmlns:mc="http://schemas.openxmlformats.org/markup-compatibility/2006">
      <mc:Choice Requires="x14">
        <control shapeId="2055" r:id="rId14" name="chkRecords">
          <controlPr defaultSize="0" autoLine="0" r:id="rId15">
            <anchor moveWithCells="1">
              <from>
                <xdr:col>4</xdr:col>
                <xdr:colOff>571500</xdr:colOff>
                <xdr:row>23</xdr:row>
                <xdr:rowOff>76200</xdr:rowOff>
              </from>
              <to>
                <xdr:col>4</xdr:col>
                <xdr:colOff>1209675</xdr:colOff>
                <xdr:row>24</xdr:row>
                <xdr:rowOff>161925</xdr:rowOff>
              </to>
            </anchor>
          </controlPr>
        </control>
      </mc:Choice>
      <mc:Fallback>
        <control shapeId="2055" r:id="rId14" name="chkRecords"/>
      </mc:Fallback>
    </mc:AlternateContent>
    <mc:AlternateContent xmlns:mc="http://schemas.openxmlformats.org/markup-compatibility/2006">
      <mc:Choice Requires="x14">
        <control shapeId="2054" r:id="rId16" name="chkLists">
          <controlPr defaultSize="0" autoLine="0" autoPict="0" r:id="rId17">
            <anchor moveWithCells="1">
              <from>
                <xdr:col>4</xdr:col>
                <xdr:colOff>19050</xdr:colOff>
                <xdr:row>23</xdr:row>
                <xdr:rowOff>95250</xdr:rowOff>
              </from>
              <to>
                <xdr:col>4</xdr:col>
                <xdr:colOff>514350</xdr:colOff>
                <xdr:row>24</xdr:row>
                <xdr:rowOff>142875</xdr:rowOff>
              </to>
            </anchor>
          </controlPr>
        </control>
      </mc:Choice>
      <mc:Fallback>
        <control shapeId="2054" r:id="rId16" name="chkList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57CBD-95D3-45BD-8378-CF58EB2AB818}">
  <sheetPr codeName="Лист25"/>
  <dimension ref="A2:DD59"/>
  <sheetViews>
    <sheetView topLeftCell="AK5" zoomScaleNormal="100" workbookViewId="0">
      <selection activeCell="BT24" sqref="BT24:BZ24"/>
    </sheetView>
  </sheetViews>
  <sheetFormatPr defaultColWidth="2.28515625" defaultRowHeight="9.9499999999999993" customHeight="1" x14ac:dyDescent="0.25"/>
  <cols>
    <col min="1" max="1" width="2.28515625" style="10" customWidth="1"/>
    <col min="2" max="2" width="2.28515625" customWidth="1"/>
    <col min="3" max="10" width="2.28515625" style="1" customWidth="1"/>
    <col min="11" max="31" width="2.28515625" customWidth="1"/>
  </cols>
  <sheetData>
    <row r="2" spans="1:98" ht="9.9499999999999993" customHeight="1" x14ac:dyDescent="0.25">
      <c r="B2" s="69" t="s">
        <v>209</v>
      </c>
      <c r="C2" s="70"/>
      <c r="D2" s="70"/>
      <c r="E2" s="70"/>
      <c r="F2" s="70"/>
      <c r="G2" s="70"/>
      <c r="H2" s="71"/>
      <c r="I2" s="2"/>
      <c r="J2" s="2"/>
      <c r="K2" s="11"/>
      <c r="L2" s="69" t="s">
        <v>210</v>
      </c>
      <c r="M2" s="70"/>
      <c r="N2" s="70"/>
      <c r="O2" s="70"/>
      <c r="P2" s="70"/>
      <c r="Q2" s="70"/>
      <c r="R2" s="71"/>
    </row>
    <row r="3" spans="1:98" ht="9.9499999999999993" customHeight="1" x14ac:dyDescent="0.25">
      <c r="A3" s="90"/>
      <c r="B3" s="113" t="s">
        <v>60</v>
      </c>
      <c r="C3" s="114"/>
      <c r="D3" s="114"/>
      <c r="E3" s="114"/>
      <c r="F3" s="114"/>
      <c r="G3" s="114"/>
      <c r="H3" s="115"/>
      <c r="K3" s="90"/>
      <c r="L3" s="113" t="s">
        <v>60</v>
      </c>
      <c r="M3" s="114"/>
      <c r="N3" s="114"/>
      <c r="O3" s="114"/>
      <c r="P3" s="114"/>
      <c r="Q3" s="114"/>
      <c r="R3" s="115"/>
    </row>
    <row r="4" spans="1:98" ht="9.9499999999999993" customHeight="1" x14ac:dyDescent="0.25">
      <c r="A4" s="54"/>
      <c r="B4" s="116" t="s">
        <v>61</v>
      </c>
      <c r="C4" s="117"/>
      <c r="D4" s="117"/>
      <c r="E4" s="117"/>
      <c r="F4" s="117"/>
      <c r="G4" s="117"/>
      <c r="H4" s="118"/>
      <c r="K4" s="54"/>
      <c r="L4" s="116" t="s">
        <v>63</v>
      </c>
      <c r="M4" s="117"/>
      <c r="N4" s="117"/>
      <c r="O4" s="117"/>
      <c r="P4" s="117"/>
      <c r="Q4" s="117"/>
      <c r="R4" s="118"/>
    </row>
    <row r="5" spans="1:98" ht="9.9499999999999993" customHeight="1" x14ac:dyDescent="0.25">
      <c r="A5" s="54"/>
      <c r="B5" s="116" t="s">
        <v>62</v>
      </c>
      <c r="C5" s="117"/>
      <c r="D5" s="117"/>
      <c r="E5" s="117"/>
      <c r="F5" s="117"/>
      <c r="G5" s="117"/>
      <c r="H5" s="118"/>
      <c r="K5" s="54"/>
      <c r="L5" s="116" t="s">
        <v>64</v>
      </c>
      <c r="M5" s="117"/>
      <c r="N5" s="117"/>
      <c r="O5" s="117"/>
      <c r="P5" s="117"/>
      <c r="Q5" s="117"/>
      <c r="R5" s="118"/>
      <c r="V5" s="87" t="s">
        <v>223</v>
      </c>
      <c r="W5" s="88"/>
      <c r="X5" s="88"/>
      <c r="Y5" s="88"/>
      <c r="Z5" s="88"/>
      <c r="AA5" s="88"/>
      <c r="AB5" s="89"/>
      <c r="AC5" s="2"/>
      <c r="AD5" s="2"/>
      <c r="AE5" s="55"/>
      <c r="AF5" s="87" t="s">
        <v>220</v>
      </c>
      <c r="AG5" s="88"/>
      <c r="AH5" s="88"/>
      <c r="AI5" s="88"/>
      <c r="AJ5" s="88"/>
      <c r="AK5" s="88"/>
      <c r="AL5" s="89"/>
      <c r="AM5" s="55"/>
      <c r="AN5" s="55"/>
      <c r="AO5" s="55"/>
      <c r="AP5" s="69" t="s">
        <v>216</v>
      </c>
      <c r="AQ5" s="70"/>
      <c r="AR5" s="70"/>
      <c r="AS5" s="70"/>
      <c r="AT5" s="70"/>
      <c r="AU5" s="70"/>
      <c r="AV5" s="71"/>
      <c r="AW5" s="55"/>
      <c r="AX5" s="55"/>
      <c r="AY5" s="55"/>
      <c r="AZ5" s="69" t="s">
        <v>226</v>
      </c>
      <c r="BA5" s="70"/>
      <c r="BB5" s="70"/>
      <c r="BC5" s="70"/>
      <c r="BD5" s="70"/>
      <c r="BE5" s="70"/>
      <c r="BF5" s="71"/>
      <c r="BG5" s="55"/>
      <c r="BH5" s="55"/>
      <c r="BI5" s="55"/>
      <c r="BJ5" s="69" t="s">
        <v>211</v>
      </c>
      <c r="BK5" s="70"/>
      <c r="BL5" s="70"/>
      <c r="BM5" s="70"/>
      <c r="BN5" s="70"/>
      <c r="BO5" s="70"/>
      <c r="BP5" s="71"/>
      <c r="BQ5" s="55"/>
      <c r="BR5" s="55"/>
      <c r="BS5" s="55"/>
      <c r="BT5" s="69" t="s">
        <v>213</v>
      </c>
      <c r="BU5" s="70"/>
      <c r="BV5" s="70"/>
      <c r="BW5" s="70"/>
      <c r="BX5" s="70"/>
      <c r="BY5" s="70"/>
      <c r="BZ5" s="71"/>
      <c r="CD5" s="102" t="s">
        <v>390</v>
      </c>
      <c r="CE5" s="103"/>
      <c r="CF5" s="103"/>
      <c r="CG5" s="103"/>
      <c r="CH5" s="103"/>
      <c r="CI5" s="103"/>
      <c r="CJ5" s="104"/>
      <c r="CN5" s="99" t="s">
        <v>400</v>
      </c>
      <c r="CO5" s="100"/>
      <c r="CP5" s="100"/>
      <c r="CQ5" s="100"/>
      <c r="CR5" s="100"/>
      <c r="CS5" s="100"/>
      <c r="CT5" s="101"/>
    </row>
    <row r="6" spans="1:98" ht="9.9499999999999993" customHeight="1" x14ac:dyDescent="0.25">
      <c r="A6" s="54"/>
      <c r="B6" s="116" t="s">
        <v>89</v>
      </c>
      <c r="C6" s="117"/>
      <c r="D6" s="117"/>
      <c r="E6" s="117"/>
      <c r="F6" s="117"/>
      <c r="G6" s="117"/>
      <c r="H6" s="118"/>
      <c r="L6" s="63"/>
      <c r="M6" s="64"/>
      <c r="N6" s="64"/>
      <c r="O6" s="64"/>
      <c r="P6" s="64"/>
      <c r="Q6" s="64"/>
      <c r="R6" s="65"/>
      <c r="U6" s="90"/>
      <c r="V6" s="78" t="s">
        <v>60</v>
      </c>
      <c r="W6" s="79"/>
      <c r="X6" s="79"/>
      <c r="Y6" s="79"/>
      <c r="Z6" s="79"/>
      <c r="AA6" s="79"/>
      <c r="AB6" s="80"/>
      <c r="AC6" s="47"/>
      <c r="AD6" s="47"/>
      <c r="AE6" s="91"/>
      <c r="AF6" s="78" t="s">
        <v>60</v>
      </c>
      <c r="AG6" s="79"/>
      <c r="AH6" s="79"/>
      <c r="AI6" s="79"/>
      <c r="AJ6" s="79"/>
      <c r="AK6" s="79"/>
      <c r="AL6" s="80"/>
      <c r="AM6" s="48"/>
      <c r="AN6" s="48"/>
      <c r="AO6" s="91"/>
      <c r="AP6" s="78" t="s">
        <v>60</v>
      </c>
      <c r="AQ6" s="79"/>
      <c r="AR6" s="79"/>
      <c r="AS6" s="79"/>
      <c r="AT6" s="79"/>
      <c r="AU6" s="79"/>
      <c r="AV6" s="80"/>
      <c r="AW6" s="47"/>
      <c r="AX6" s="48"/>
      <c r="AY6" s="91"/>
      <c r="AZ6" s="78" t="s">
        <v>60</v>
      </c>
      <c r="BA6" s="79"/>
      <c r="BB6" s="79"/>
      <c r="BC6" s="79"/>
      <c r="BD6" s="79"/>
      <c r="BE6" s="79"/>
      <c r="BF6" s="80"/>
      <c r="BG6" s="48"/>
      <c r="BH6" s="48"/>
      <c r="BI6" s="91"/>
      <c r="BJ6" s="78" t="s">
        <v>60</v>
      </c>
      <c r="BK6" s="79"/>
      <c r="BL6" s="79"/>
      <c r="BM6" s="79"/>
      <c r="BN6" s="79"/>
      <c r="BO6" s="79"/>
      <c r="BP6" s="80"/>
      <c r="BQ6" s="48"/>
      <c r="BR6" s="48"/>
      <c r="BS6" s="91"/>
      <c r="BT6" s="78" t="s">
        <v>60</v>
      </c>
      <c r="BU6" s="79"/>
      <c r="BV6" s="79"/>
      <c r="BW6" s="79"/>
      <c r="BX6" s="79"/>
      <c r="BY6" s="79"/>
      <c r="BZ6" s="80"/>
      <c r="CA6" s="48"/>
      <c r="CB6" s="48"/>
      <c r="CC6" s="91"/>
      <c r="CD6" s="78" t="s">
        <v>60</v>
      </c>
      <c r="CE6" s="79"/>
      <c r="CF6" s="79"/>
      <c r="CG6" s="79"/>
      <c r="CH6" s="79"/>
      <c r="CI6" s="79"/>
      <c r="CJ6" s="80"/>
      <c r="CM6" s="90"/>
      <c r="CN6" s="93" t="s">
        <v>60</v>
      </c>
      <c r="CO6" s="94"/>
      <c r="CP6" s="94"/>
      <c r="CQ6" s="94"/>
      <c r="CR6" s="94"/>
      <c r="CS6" s="94"/>
      <c r="CT6" s="95"/>
    </row>
    <row r="7" spans="1:98" ht="9.9499999999999993" customHeight="1" x14ac:dyDescent="0.25">
      <c r="B7" s="63"/>
      <c r="C7" s="64"/>
      <c r="D7" s="64"/>
      <c r="E7" s="64"/>
      <c r="F7" s="64"/>
      <c r="G7" s="64"/>
      <c r="H7" s="65"/>
      <c r="L7" s="63"/>
      <c r="M7" s="64"/>
      <c r="N7" s="64"/>
      <c r="O7" s="64"/>
      <c r="P7" s="64"/>
      <c r="Q7" s="64"/>
      <c r="R7" s="65"/>
      <c r="U7" s="52"/>
      <c r="V7" s="81" t="s">
        <v>93</v>
      </c>
      <c r="W7" s="82"/>
      <c r="X7" s="82"/>
      <c r="Y7" s="82"/>
      <c r="Z7" s="82"/>
      <c r="AA7" s="82"/>
      <c r="AB7" s="83"/>
      <c r="AC7" s="1"/>
      <c r="AD7" s="1"/>
      <c r="AE7" s="52"/>
      <c r="AF7" s="81" t="s">
        <v>93</v>
      </c>
      <c r="AG7" s="82"/>
      <c r="AH7" s="82"/>
      <c r="AI7" s="82"/>
      <c r="AJ7" s="82"/>
      <c r="AK7" s="82"/>
      <c r="AL7" s="83"/>
      <c r="AM7" s="48"/>
      <c r="AN7" s="48"/>
      <c r="AO7" s="53"/>
      <c r="AP7" s="81" t="s">
        <v>93</v>
      </c>
      <c r="AQ7" s="82"/>
      <c r="AR7" s="82"/>
      <c r="AS7" s="82"/>
      <c r="AT7" s="82"/>
      <c r="AU7" s="82"/>
      <c r="AV7" s="83"/>
      <c r="AW7" s="47"/>
      <c r="AX7" s="48"/>
      <c r="AY7" s="53"/>
      <c r="AZ7" s="81" t="s">
        <v>93</v>
      </c>
      <c r="BA7" s="82"/>
      <c r="BB7" s="82"/>
      <c r="BC7" s="82"/>
      <c r="BD7" s="82"/>
      <c r="BE7" s="82"/>
      <c r="BF7" s="83"/>
      <c r="BG7" s="48"/>
      <c r="BH7" s="48"/>
      <c r="BI7" s="53"/>
      <c r="BJ7" s="81" t="s">
        <v>93</v>
      </c>
      <c r="BK7" s="82"/>
      <c r="BL7" s="82"/>
      <c r="BM7" s="82"/>
      <c r="BN7" s="82"/>
      <c r="BO7" s="82"/>
      <c r="BP7" s="83"/>
      <c r="BQ7" s="48"/>
      <c r="BR7" s="48"/>
      <c r="BS7" s="53"/>
      <c r="BT7" s="81" t="s">
        <v>93</v>
      </c>
      <c r="BU7" s="82"/>
      <c r="BV7" s="82"/>
      <c r="BW7" s="82"/>
      <c r="BX7" s="82"/>
      <c r="BY7" s="82"/>
      <c r="BZ7" s="83"/>
      <c r="CC7" s="92"/>
      <c r="CD7" s="81" t="s">
        <v>93</v>
      </c>
      <c r="CE7" s="82"/>
      <c r="CF7" s="82"/>
      <c r="CG7" s="82"/>
      <c r="CH7" s="82"/>
      <c r="CI7" s="82"/>
      <c r="CJ7" s="83"/>
      <c r="CN7" s="63"/>
      <c r="CO7" s="64"/>
      <c r="CP7" s="64"/>
      <c r="CQ7" s="64"/>
      <c r="CR7" s="64"/>
      <c r="CS7" s="64"/>
      <c r="CT7" s="65"/>
    </row>
    <row r="8" spans="1:98" ht="9.9499999999999993" customHeight="1" x14ac:dyDescent="0.25">
      <c r="B8" s="63"/>
      <c r="C8" s="64"/>
      <c r="D8" s="64"/>
      <c r="E8" s="64"/>
      <c r="F8" s="64"/>
      <c r="G8" s="64"/>
      <c r="H8" s="65"/>
      <c r="L8" s="63"/>
      <c r="M8" s="64"/>
      <c r="N8" s="64"/>
      <c r="O8" s="64"/>
      <c r="P8" s="64"/>
      <c r="Q8" s="64"/>
      <c r="R8" s="65"/>
      <c r="U8" s="52"/>
      <c r="V8" s="81" t="s">
        <v>94</v>
      </c>
      <c r="W8" s="82"/>
      <c r="X8" s="82"/>
      <c r="Y8" s="82"/>
      <c r="Z8" s="82"/>
      <c r="AA8" s="82"/>
      <c r="AB8" s="83"/>
      <c r="AC8" s="1"/>
      <c r="AD8" s="1"/>
      <c r="AE8" s="52"/>
      <c r="AF8" s="81" t="s">
        <v>94</v>
      </c>
      <c r="AG8" s="82"/>
      <c r="AH8" s="82"/>
      <c r="AI8" s="82"/>
      <c r="AJ8" s="82"/>
      <c r="AK8" s="82"/>
      <c r="AL8" s="83"/>
      <c r="AM8" s="48"/>
      <c r="AN8" s="48"/>
      <c r="AO8" s="53"/>
      <c r="AP8" s="81" t="s">
        <v>94</v>
      </c>
      <c r="AQ8" s="82"/>
      <c r="AR8" s="82"/>
      <c r="AS8" s="82"/>
      <c r="AT8" s="82"/>
      <c r="AU8" s="82"/>
      <c r="AV8" s="83"/>
      <c r="AW8" s="47"/>
      <c r="AX8" s="48"/>
      <c r="AY8" s="53"/>
      <c r="AZ8" s="81" t="s">
        <v>94</v>
      </c>
      <c r="BA8" s="82"/>
      <c r="BB8" s="82"/>
      <c r="BC8" s="82"/>
      <c r="BD8" s="82"/>
      <c r="BE8" s="82"/>
      <c r="BF8" s="83"/>
      <c r="BG8" s="48"/>
      <c r="BH8" s="48"/>
      <c r="BI8" s="53"/>
      <c r="BJ8" s="81" t="s">
        <v>94</v>
      </c>
      <c r="BK8" s="82"/>
      <c r="BL8" s="82"/>
      <c r="BM8" s="82"/>
      <c r="BN8" s="82"/>
      <c r="BO8" s="82"/>
      <c r="BP8" s="83"/>
      <c r="BQ8" s="48"/>
      <c r="BR8" s="48"/>
      <c r="BS8" s="53"/>
      <c r="BT8" s="81" t="s">
        <v>94</v>
      </c>
      <c r="BU8" s="82"/>
      <c r="BV8" s="82"/>
      <c r="BW8" s="82"/>
      <c r="BX8" s="82"/>
      <c r="BY8" s="82"/>
      <c r="BZ8" s="83"/>
      <c r="CC8" s="92"/>
      <c r="CD8" s="81" t="s">
        <v>94</v>
      </c>
      <c r="CE8" s="82"/>
      <c r="CF8" s="82"/>
      <c r="CG8" s="82"/>
      <c r="CH8" s="82"/>
      <c r="CI8" s="82"/>
      <c r="CJ8" s="83"/>
      <c r="CN8" s="63"/>
      <c r="CO8" s="64"/>
      <c r="CP8" s="64"/>
      <c r="CQ8" s="64"/>
      <c r="CR8" s="64"/>
      <c r="CS8" s="64"/>
      <c r="CT8" s="65"/>
    </row>
    <row r="9" spans="1:98" ht="9.9499999999999993" customHeight="1" x14ac:dyDescent="0.25">
      <c r="B9" s="63"/>
      <c r="C9" s="64"/>
      <c r="D9" s="64"/>
      <c r="E9" s="64"/>
      <c r="F9" s="64"/>
      <c r="G9" s="64"/>
      <c r="H9" s="65"/>
      <c r="L9" s="63"/>
      <c r="M9" s="64"/>
      <c r="N9" s="64"/>
      <c r="O9" s="64"/>
      <c r="P9" s="64"/>
      <c r="Q9" s="64"/>
      <c r="R9" s="65"/>
      <c r="U9" s="52"/>
      <c r="V9" s="81" t="s">
        <v>398</v>
      </c>
      <c r="W9" s="82"/>
      <c r="X9" s="82"/>
      <c r="Y9" s="82"/>
      <c r="Z9" s="82"/>
      <c r="AA9" s="82"/>
      <c r="AB9" s="83"/>
      <c r="AC9" s="1"/>
      <c r="AD9" s="1"/>
      <c r="AE9" s="52"/>
      <c r="AF9" s="81" t="s">
        <v>398</v>
      </c>
      <c r="AG9" s="82"/>
      <c r="AH9" s="82"/>
      <c r="AI9" s="82"/>
      <c r="AJ9" s="82"/>
      <c r="AK9" s="82"/>
      <c r="AL9" s="83"/>
      <c r="AO9" s="52"/>
      <c r="AP9" s="81" t="s">
        <v>398</v>
      </c>
      <c r="AQ9" s="82"/>
      <c r="AR9" s="82"/>
      <c r="AS9" s="82"/>
      <c r="AT9" s="82"/>
      <c r="AU9" s="82"/>
      <c r="AV9" s="83"/>
      <c r="AY9" s="52"/>
      <c r="AZ9" s="81" t="s">
        <v>398</v>
      </c>
      <c r="BA9" s="82"/>
      <c r="BB9" s="82"/>
      <c r="BC9" s="82"/>
      <c r="BD9" s="82"/>
      <c r="BE9" s="82"/>
      <c r="BF9" s="83"/>
      <c r="BI9" s="52"/>
      <c r="BJ9" s="81" t="s">
        <v>398</v>
      </c>
      <c r="BK9" s="82"/>
      <c r="BL9" s="82"/>
      <c r="BM9" s="82"/>
      <c r="BN9" s="82"/>
      <c r="BO9" s="82"/>
      <c r="BP9" s="83"/>
      <c r="BS9" s="52"/>
      <c r="BT9" s="81" t="s">
        <v>398</v>
      </c>
      <c r="BU9" s="82"/>
      <c r="BV9" s="82"/>
      <c r="BW9" s="82"/>
      <c r="BX9" s="82"/>
      <c r="BY9" s="82"/>
      <c r="BZ9" s="83"/>
      <c r="CC9" s="92"/>
      <c r="CD9" s="81" t="s">
        <v>398</v>
      </c>
      <c r="CE9" s="82"/>
      <c r="CF9" s="82"/>
      <c r="CG9" s="82"/>
      <c r="CH9" s="82"/>
      <c r="CI9" s="82"/>
      <c r="CJ9" s="83"/>
      <c r="CN9" s="75"/>
      <c r="CO9" s="76"/>
      <c r="CP9" s="76"/>
      <c r="CQ9" s="76"/>
      <c r="CR9" s="76"/>
      <c r="CS9" s="76"/>
      <c r="CT9" s="77"/>
    </row>
    <row r="10" spans="1:98" ht="9.9499999999999993" customHeight="1" x14ac:dyDescent="0.25">
      <c r="B10" s="63"/>
      <c r="C10" s="64"/>
      <c r="D10" s="64"/>
      <c r="E10" s="64"/>
      <c r="F10" s="64"/>
      <c r="G10" s="64"/>
      <c r="H10" s="65"/>
      <c r="L10" s="63"/>
      <c r="M10" s="64"/>
      <c r="N10" s="64"/>
      <c r="O10" s="64"/>
      <c r="P10" s="64"/>
      <c r="Q10" s="64"/>
      <c r="R10" s="65"/>
      <c r="U10" s="52"/>
      <c r="V10" s="81" t="s">
        <v>399</v>
      </c>
      <c r="W10" s="82"/>
      <c r="X10" s="82"/>
      <c r="Y10" s="82"/>
      <c r="Z10" s="82"/>
      <c r="AA10" s="82"/>
      <c r="AB10" s="83"/>
      <c r="AC10" s="1"/>
      <c r="AD10" s="1"/>
      <c r="AE10" s="52"/>
      <c r="AF10" s="81" t="s">
        <v>399</v>
      </c>
      <c r="AG10" s="82"/>
      <c r="AH10" s="82"/>
      <c r="AI10" s="82"/>
      <c r="AJ10" s="82"/>
      <c r="AK10" s="82"/>
      <c r="AL10" s="83"/>
      <c r="AO10" s="52"/>
      <c r="AP10" s="81" t="s">
        <v>399</v>
      </c>
      <c r="AQ10" s="82"/>
      <c r="AR10" s="82"/>
      <c r="AS10" s="82"/>
      <c r="AT10" s="82"/>
      <c r="AU10" s="82"/>
      <c r="AV10" s="83"/>
      <c r="AY10" s="52"/>
      <c r="AZ10" s="81" t="s">
        <v>399</v>
      </c>
      <c r="BA10" s="82"/>
      <c r="BB10" s="82"/>
      <c r="BC10" s="82"/>
      <c r="BD10" s="82"/>
      <c r="BE10" s="82"/>
      <c r="BF10" s="83"/>
      <c r="BI10" s="52"/>
      <c r="BJ10" s="81" t="s">
        <v>399</v>
      </c>
      <c r="BK10" s="82"/>
      <c r="BL10" s="82"/>
      <c r="BM10" s="82"/>
      <c r="BN10" s="82"/>
      <c r="BO10" s="82"/>
      <c r="BP10" s="83"/>
      <c r="BS10" s="52"/>
      <c r="BT10" s="81" t="s">
        <v>399</v>
      </c>
      <c r="BU10" s="82"/>
      <c r="BV10" s="82"/>
      <c r="BW10" s="82"/>
      <c r="BX10" s="82"/>
      <c r="BY10" s="82"/>
      <c r="BZ10" s="83"/>
      <c r="CC10" s="92"/>
      <c r="CD10" s="81" t="s">
        <v>399</v>
      </c>
      <c r="CE10" s="82"/>
      <c r="CF10" s="82"/>
      <c r="CG10" s="82"/>
      <c r="CH10" s="82"/>
      <c r="CI10" s="82"/>
      <c r="CJ10" s="83"/>
      <c r="CN10" s="63"/>
      <c r="CO10" s="64"/>
      <c r="CP10" s="64"/>
      <c r="CQ10" s="64"/>
      <c r="CR10" s="64"/>
      <c r="CS10" s="64"/>
      <c r="CT10" s="65"/>
    </row>
    <row r="11" spans="1:98" ht="9.9499999999999993" customHeight="1" x14ac:dyDescent="0.25">
      <c r="B11" s="63"/>
      <c r="C11" s="64"/>
      <c r="D11" s="64"/>
      <c r="E11" s="64"/>
      <c r="F11" s="64"/>
      <c r="G11" s="64"/>
      <c r="H11" s="65"/>
      <c r="K11" s="54"/>
      <c r="L11" s="84" t="s">
        <v>186</v>
      </c>
      <c r="M11" s="85"/>
      <c r="N11" s="85"/>
      <c r="O11" s="85"/>
      <c r="P11" s="85"/>
      <c r="Q11" s="85"/>
      <c r="R11" s="86"/>
      <c r="V11" s="63"/>
      <c r="W11" s="64"/>
      <c r="X11" s="64"/>
      <c r="Y11" s="64"/>
      <c r="Z11" s="64"/>
      <c r="AA11" s="64"/>
      <c r="AB11" s="65"/>
      <c r="AC11" s="1"/>
      <c r="AD11" s="1"/>
      <c r="AF11" s="63"/>
      <c r="AG11" s="64"/>
      <c r="AH11" s="64"/>
      <c r="AI11" s="64"/>
      <c r="AJ11" s="64"/>
      <c r="AK11" s="64"/>
      <c r="AL11" s="65"/>
      <c r="AP11" s="63"/>
      <c r="AQ11" s="64"/>
      <c r="AR11" s="64"/>
      <c r="AS11" s="64"/>
      <c r="AT11" s="64"/>
      <c r="AU11" s="64"/>
      <c r="AV11" s="65"/>
      <c r="AZ11" s="63"/>
      <c r="BA11" s="64"/>
      <c r="BB11" s="64"/>
      <c r="BC11" s="64"/>
      <c r="BD11" s="64"/>
      <c r="BE11" s="64"/>
      <c r="BF11" s="65"/>
      <c r="BJ11" s="63"/>
      <c r="BK11" s="64"/>
      <c r="BL11" s="64"/>
      <c r="BM11" s="64"/>
      <c r="BN11" s="64"/>
      <c r="BO11" s="64"/>
      <c r="BP11" s="65"/>
      <c r="BT11" s="63"/>
      <c r="BU11" s="64"/>
      <c r="BV11" s="64"/>
      <c r="BW11" s="64"/>
      <c r="BX11" s="64"/>
      <c r="BY11" s="64"/>
      <c r="BZ11" s="65"/>
      <c r="CD11" s="63"/>
      <c r="CE11" s="64"/>
      <c r="CF11" s="64"/>
      <c r="CG11" s="64"/>
      <c r="CH11" s="64"/>
      <c r="CI11" s="64"/>
      <c r="CJ11" s="65"/>
      <c r="CN11" s="63"/>
      <c r="CO11" s="64"/>
      <c r="CP11" s="64"/>
      <c r="CQ11" s="64"/>
      <c r="CR11" s="64"/>
      <c r="CS11" s="64"/>
      <c r="CT11" s="65"/>
    </row>
    <row r="12" spans="1:98" ht="9.9499999999999993" customHeight="1" x14ac:dyDescent="0.25">
      <c r="B12" s="63"/>
      <c r="C12" s="64"/>
      <c r="D12" s="64"/>
      <c r="E12" s="64"/>
      <c r="F12" s="64"/>
      <c r="G12" s="64"/>
      <c r="H12" s="65"/>
      <c r="K12" s="54"/>
      <c r="L12" s="84" t="s">
        <v>185</v>
      </c>
      <c r="M12" s="85"/>
      <c r="N12" s="85"/>
      <c r="O12" s="85"/>
      <c r="P12" s="85"/>
      <c r="Q12" s="85"/>
      <c r="R12" s="86"/>
      <c r="V12" s="63"/>
      <c r="W12" s="64"/>
      <c r="X12" s="64"/>
      <c r="Y12" s="64"/>
      <c r="Z12" s="64"/>
      <c r="AA12" s="64"/>
      <c r="AB12" s="65"/>
      <c r="AC12" s="1"/>
      <c r="AD12" s="1"/>
      <c r="AF12" s="63"/>
      <c r="AG12" s="64"/>
      <c r="AH12" s="64"/>
      <c r="AI12" s="64"/>
      <c r="AJ12" s="64"/>
      <c r="AK12" s="64"/>
      <c r="AL12" s="65"/>
      <c r="AP12" s="63"/>
      <c r="AQ12" s="64"/>
      <c r="AR12" s="64"/>
      <c r="AS12" s="64"/>
      <c r="AT12" s="64"/>
      <c r="AU12" s="64"/>
      <c r="AV12" s="65"/>
      <c r="AZ12" s="63"/>
      <c r="BA12" s="64"/>
      <c r="BB12" s="64"/>
      <c r="BC12" s="64"/>
      <c r="BD12" s="64"/>
      <c r="BE12" s="64"/>
      <c r="BF12" s="65"/>
      <c r="BJ12" s="63"/>
      <c r="BK12" s="64"/>
      <c r="BL12" s="64"/>
      <c r="BM12" s="64"/>
      <c r="BN12" s="64"/>
      <c r="BO12" s="64"/>
      <c r="BP12" s="65"/>
      <c r="BT12" s="63"/>
      <c r="BU12" s="64"/>
      <c r="BV12" s="64"/>
      <c r="BW12" s="64"/>
      <c r="BX12" s="64"/>
      <c r="BY12" s="64"/>
      <c r="BZ12" s="65"/>
      <c r="CD12" s="63"/>
      <c r="CE12" s="64"/>
      <c r="CF12" s="64"/>
      <c r="CG12" s="64"/>
      <c r="CH12" s="64"/>
      <c r="CI12" s="64"/>
      <c r="CJ12" s="65"/>
      <c r="CN12" s="63"/>
      <c r="CO12" s="64"/>
      <c r="CP12" s="64"/>
      <c r="CQ12" s="64"/>
      <c r="CR12" s="64"/>
      <c r="CS12" s="64"/>
      <c r="CT12" s="65"/>
    </row>
    <row r="13" spans="1:98" ht="9.9499999999999993" customHeight="1" x14ac:dyDescent="0.25">
      <c r="B13" s="63"/>
      <c r="C13" s="64"/>
      <c r="D13" s="64"/>
      <c r="E13" s="64"/>
      <c r="F13" s="64"/>
      <c r="G13" s="64"/>
      <c r="H13" s="65"/>
      <c r="I13" s="45"/>
      <c r="J13" s="45"/>
      <c r="K13" s="54"/>
      <c r="L13" s="84" t="s">
        <v>184</v>
      </c>
      <c r="M13" s="85"/>
      <c r="N13" s="85"/>
      <c r="O13" s="85"/>
      <c r="P13" s="85"/>
      <c r="Q13" s="85"/>
      <c r="R13" s="86"/>
      <c r="V13" s="63"/>
      <c r="W13" s="64"/>
      <c r="X13" s="64"/>
      <c r="Y13" s="64"/>
      <c r="Z13" s="64"/>
      <c r="AA13" s="64"/>
      <c r="AB13" s="65"/>
      <c r="AC13" s="1"/>
      <c r="AD13" s="1"/>
      <c r="AF13" s="63"/>
      <c r="AG13" s="64"/>
      <c r="AH13" s="64"/>
      <c r="AI13" s="64"/>
      <c r="AJ13" s="64"/>
      <c r="AK13" s="64"/>
      <c r="AL13" s="65"/>
      <c r="AP13" s="63"/>
      <c r="AQ13" s="64"/>
      <c r="AR13" s="64"/>
      <c r="AS13" s="64"/>
      <c r="AT13" s="64"/>
      <c r="AU13" s="64"/>
      <c r="AV13" s="65"/>
      <c r="AW13" s="1"/>
      <c r="AZ13" s="63"/>
      <c r="BA13" s="64"/>
      <c r="BB13" s="64"/>
      <c r="BC13" s="64"/>
      <c r="BD13" s="64"/>
      <c r="BE13" s="64"/>
      <c r="BF13" s="65"/>
      <c r="BJ13" s="63"/>
      <c r="BK13" s="64"/>
      <c r="BL13" s="64"/>
      <c r="BM13" s="64"/>
      <c r="BN13" s="64"/>
      <c r="BO13" s="64"/>
      <c r="BP13" s="65"/>
      <c r="BT13" s="63"/>
      <c r="BU13" s="64"/>
      <c r="BV13" s="64"/>
      <c r="BW13" s="64"/>
      <c r="BX13" s="64"/>
      <c r="BY13" s="64"/>
      <c r="BZ13" s="65"/>
      <c r="CD13" s="63"/>
      <c r="CE13" s="64"/>
      <c r="CF13" s="64"/>
      <c r="CG13" s="64"/>
      <c r="CH13" s="64"/>
      <c r="CI13" s="64"/>
      <c r="CJ13" s="65"/>
      <c r="CN13" s="63"/>
      <c r="CO13" s="64"/>
      <c r="CP13" s="64"/>
      <c r="CQ13" s="64"/>
      <c r="CR13" s="64"/>
      <c r="CS13" s="64"/>
      <c r="CT13" s="65"/>
    </row>
    <row r="14" spans="1:98" ht="9.9499999999999993" customHeight="1" x14ac:dyDescent="0.25">
      <c r="B14" s="63"/>
      <c r="C14" s="64"/>
      <c r="D14" s="64"/>
      <c r="E14" s="64"/>
      <c r="F14" s="64"/>
      <c r="G14" s="64"/>
      <c r="H14" s="65"/>
      <c r="I14" s="45"/>
      <c r="J14" s="45"/>
      <c r="K14" s="54"/>
      <c r="L14" s="84" t="s">
        <v>183</v>
      </c>
      <c r="M14" s="85"/>
      <c r="N14" s="85"/>
      <c r="O14" s="85"/>
      <c r="P14" s="85"/>
      <c r="Q14" s="85"/>
      <c r="R14" s="86"/>
      <c r="V14" s="63"/>
      <c r="W14" s="64"/>
      <c r="X14" s="64"/>
      <c r="Y14" s="64"/>
      <c r="Z14" s="64"/>
      <c r="AA14" s="64"/>
      <c r="AB14" s="65"/>
      <c r="AC14" s="1"/>
      <c r="AD14" s="1"/>
      <c r="AF14" s="63"/>
      <c r="AG14" s="64"/>
      <c r="AH14" s="64"/>
      <c r="AI14" s="64"/>
      <c r="AJ14" s="64"/>
      <c r="AK14" s="64"/>
      <c r="AL14" s="65"/>
      <c r="AP14" s="63"/>
      <c r="AQ14" s="64"/>
      <c r="AR14" s="64"/>
      <c r="AS14" s="64"/>
      <c r="AT14" s="64"/>
      <c r="AU14" s="64"/>
      <c r="AV14" s="65"/>
      <c r="AW14" s="1"/>
      <c r="AZ14" s="63"/>
      <c r="BA14" s="64"/>
      <c r="BB14" s="64"/>
      <c r="BC14" s="64"/>
      <c r="BD14" s="64"/>
      <c r="BE14" s="64"/>
      <c r="BF14" s="65"/>
      <c r="BJ14" s="63"/>
      <c r="BK14" s="64"/>
      <c r="BL14" s="64"/>
      <c r="BM14" s="64"/>
      <c r="BN14" s="64"/>
      <c r="BO14" s="64"/>
      <c r="BP14" s="65"/>
      <c r="BT14" s="63"/>
      <c r="BU14" s="64"/>
      <c r="BV14" s="64"/>
      <c r="BW14" s="64"/>
      <c r="BX14" s="64"/>
      <c r="BY14" s="64"/>
      <c r="BZ14" s="65"/>
      <c r="CD14" s="63"/>
      <c r="CE14" s="64"/>
      <c r="CF14" s="64"/>
      <c r="CG14" s="64"/>
      <c r="CH14" s="64"/>
      <c r="CI14" s="64"/>
      <c r="CJ14" s="65"/>
      <c r="CN14" s="63"/>
      <c r="CO14" s="64"/>
      <c r="CP14" s="64"/>
      <c r="CQ14" s="64"/>
      <c r="CR14" s="64"/>
      <c r="CS14" s="64"/>
      <c r="CT14" s="65"/>
    </row>
    <row r="15" spans="1:98" ht="9.9499999999999993" customHeight="1" x14ac:dyDescent="0.25">
      <c r="B15" s="63"/>
      <c r="C15" s="64"/>
      <c r="D15" s="64"/>
      <c r="E15" s="64"/>
      <c r="F15" s="64"/>
      <c r="G15" s="64"/>
      <c r="H15" s="65"/>
      <c r="I15" s="45"/>
      <c r="J15" s="45"/>
      <c r="K15" s="54"/>
      <c r="L15" s="84" t="s">
        <v>182</v>
      </c>
      <c r="M15" s="85"/>
      <c r="N15" s="85"/>
      <c r="O15" s="85"/>
      <c r="P15" s="85"/>
      <c r="Q15" s="85"/>
      <c r="R15" s="86"/>
      <c r="U15" s="52"/>
      <c r="V15" s="63" t="s">
        <v>133</v>
      </c>
      <c r="W15" s="64"/>
      <c r="X15" s="64"/>
      <c r="Y15" s="64"/>
      <c r="Z15" s="64"/>
      <c r="AA15" s="64"/>
      <c r="AB15" s="65"/>
      <c r="AC15" s="1"/>
      <c r="AD15" s="1"/>
      <c r="AE15" s="52"/>
      <c r="AF15" s="63" t="s">
        <v>133</v>
      </c>
      <c r="AG15" s="64"/>
      <c r="AH15" s="64"/>
      <c r="AI15" s="64"/>
      <c r="AJ15" s="64"/>
      <c r="AK15" s="64"/>
      <c r="AL15" s="65"/>
      <c r="AO15" s="52"/>
      <c r="AP15" s="63" t="s">
        <v>133</v>
      </c>
      <c r="AQ15" s="64"/>
      <c r="AR15" s="64"/>
      <c r="AS15" s="64"/>
      <c r="AT15" s="64"/>
      <c r="AU15" s="64"/>
      <c r="AV15" s="65"/>
      <c r="AW15" s="1"/>
      <c r="AY15" s="52"/>
      <c r="AZ15" s="63" t="s">
        <v>133</v>
      </c>
      <c r="BA15" s="64"/>
      <c r="BB15" s="64"/>
      <c r="BC15" s="64"/>
      <c r="BD15" s="64"/>
      <c r="BE15" s="64"/>
      <c r="BF15" s="65"/>
      <c r="BI15" s="52"/>
      <c r="BJ15" s="63" t="s">
        <v>133</v>
      </c>
      <c r="BK15" s="64"/>
      <c r="BL15" s="64"/>
      <c r="BM15" s="64"/>
      <c r="BN15" s="64"/>
      <c r="BO15" s="64"/>
      <c r="BP15" s="65"/>
      <c r="BS15" s="52"/>
      <c r="BT15" s="63" t="s">
        <v>133</v>
      </c>
      <c r="BU15" s="64"/>
      <c r="BV15" s="64"/>
      <c r="BW15" s="64"/>
      <c r="BX15" s="64"/>
      <c r="BY15" s="64"/>
      <c r="BZ15" s="65"/>
      <c r="CD15" s="63"/>
      <c r="CE15" s="64"/>
      <c r="CF15" s="64"/>
      <c r="CG15" s="64"/>
      <c r="CH15" s="64"/>
      <c r="CI15" s="64"/>
      <c r="CJ15" s="65"/>
      <c r="CN15" s="63"/>
      <c r="CO15" s="64"/>
      <c r="CP15" s="64"/>
      <c r="CQ15" s="64"/>
      <c r="CR15" s="64"/>
      <c r="CS15" s="64"/>
      <c r="CT15" s="65"/>
    </row>
    <row r="16" spans="1:98" ht="9.9499999999999993" customHeight="1" x14ac:dyDescent="0.25">
      <c r="A16" s="54"/>
      <c r="B16" s="110" t="s">
        <v>178</v>
      </c>
      <c r="C16" s="111"/>
      <c r="D16" s="111"/>
      <c r="E16" s="111"/>
      <c r="F16" s="111"/>
      <c r="G16" s="111"/>
      <c r="H16" s="112"/>
      <c r="I16" s="45"/>
      <c r="J16" s="45"/>
      <c r="K16" s="54"/>
      <c r="L16" s="110" t="s">
        <v>181</v>
      </c>
      <c r="M16" s="111"/>
      <c r="N16" s="111"/>
      <c r="O16" s="111"/>
      <c r="P16" s="111"/>
      <c r="Q16" s="111"/>
      <c r="R16" s="112"/>
      <c r="U16" s="54"/>
      <c r="V16" s="66" t="s">
        <v>298</v>
      </c>
      <c r="W16" s="67"/>
      <c r="X16" s="67"/>
      <c r="Y16" s="67"/>
      <c r="Z16" s="67"/>
      <c r="AA16" s="67"/>
      <c r="AB16" s="68"/>
      <c r="AC16" s="1"/>
      <c r="AD16" s="1"/>
      <c r="AE16" s="54"/>
      <c r="AF16" s="66" t="s">
        <v>288</v>
      </c>
      <c r="AG16" s="67"/>
      <c r="AH16" s="67"/>
      <c r="AI16" s="67"/>
      <c r="AJ16" s="67"/>
      <c r="AK16" s="67"/>
      <c r="AL16" s="68"/>
      <c r="AO16" s="54"/>
      <c r="AP16" s="66" t="s">
        <v>229</v>
      </c>
      <c r="AQ16" s="67"/>
      <c r="AR16" s="67"/>
      <c r="AS16" s="67"/>
      <c r="AT16" s="67"/>
      <c r="AU16" s="67"/>
      <c r="AV16" s="68"/>
      <c r="AW16" s="1"/>
      <c r="AY16" s="54"/>
      <c r="AZ16" s="66" t="s">
        <v>347</v>
      </c>
      <c r="BA16" s="67"/>
      <c r="BB16" s="67"/>
      <c r="BC16" s="67"/>
      <c r="BD16" s="67"/>
      <c r="BE16" s="67"/>
      <c r="BF16" s="68"/>
      <c r="BI16" s="54"/>
      <c r="BJ16" s="66" t="s">
        <v>177</v>
      </c>
      <c r="BK16" s="67"/>
      <c r="BL16" s="67"/>
      <c r="BM16" s="67"/>
      <c r="BN16" s="67"/>
      <c r="BO16" s="67"/>
      <c r="BP16" s="68"/>
      <c r="BS16" s="54"/>
      <c r="BT16" s="66" t="s">
        <v>166</v>
      </c>
      <c r="BU16" s="67"/>
      <c r="BV16" s="67"/>
      <c r="BW16" s="67"/>
      <c r="BX16" s="67"/>
      <c r="BY16" s="67"/>
      <c r="BZ16" s="68"/>
      <c r="CC16" s="92"/>
      <c r="CD16" s="63" t="s">
        <v>133</v>
      </c>
      <c r="CE16" s="64"/>
      <c r="CF16" s="64"/>
      <c r="CG16" s="64"/>
      <c r="CH16" s="64"/>
      <c r="CI16" s="64"/>
      <c r="CJ16" s="65"/>
      <c r="CN16" s="66"/>
      <c r="CO16" s="67"/>
      <c r="CP16" s="67"/>
      <c r="CQ16" s="67"/>
      <c r="CR16" s="67"/>
      <c r="CS16" s="67"/>
      <c r="CT16" s="68"/>
    </row>
    <row r="17" spans="2:108" ht="9.9499999999999993" customHeight="1" x14ac:dyDescent="0.25">
      <c r="J17" s="45"/>
      <c r="K17" s="42"/>
      <c r="L17" s="44"/>
      <c r="M17" s="44"/>
      <c r="N17" s="44"/>
      <c r="O17" s="44"/>
      <c r="P17" s="44"/>
      <c r="Q17" s="44"/>
      <c r="R17" s="44"/>
      <c r="AQ17" s="42"/>
    </row>
    <row r="18" spans="2:108" ht="9.9499999999999993" customHeight="1" x14ac:dyDescent="0.25">
      <c r="J18" s="46"/>
      <c r="K18" s="43"/>
      <c r="S18" s="11"/>
      <c r="T18" s="11"/>
    </row>
    <row r="20" spans="2:108" ht="9.9499999999999993" customHeight="1" x14ac:dyDescent="0.25">
      <c r="B20" s="69" t="s">
        <v>407</v>
      </c>
      <c r="C20" s="70"/>
      <c r="D20" s="70"/>
      <c r="E20" s="70"/>
      <c r="F20" s="70"/>
      <c r="G20" s="70"/>
      <c r="H20" s="71"/>
      <c r="L20" s="69" t="s">
        <v>41</v>
      </c>
      <c r="M20" s="70"/>
      <c r="N20" s="70"/>
      <c r="O20" s="70"/>
      <c r="P20" s="70"/>
      <c r="Q20" s="70"/>
      <c r="R20" s="71"/>
      <c r="V20" s="69" t="s">
        <v>224</v>
      </c>
      <c r="W20" s="70"/>
      <c r="X20" s="70"/>
      <c r="Y20" s="70"/>
      <c r="Z20" s="70"/>
      <c r="AA20" s="70"/>
      <c r="AB20" s="71"/>
      <c r="AC20" s="11"/>
      <c r="AD20" s="11"/>
      <c r="AE20" s="11"/>
      <c r="AF20" s="69" t="s">
        <v>222</v>
      </c>
      <c r="AG20" s="70"/>
      <c r="AH20" s="70"/>
      <c r="AI20" s="70"/>
      <c r="AJ20" s="70"/>
      <c r="AK20" s="70"/>
      <c r="AL20" s="71"/>
      <c r="AM20" s="11"/>
      <c r="AN20" s="11"/>
      <c r="AO20" s="11"/>
      <c r="AP20" s="69" t="s">
        <v>217</v>
      </c>
      <c r="AQ20" s="70"/>
      <c r="AR20" s="70"/>
      <c r="AS20" s="70"/>
      <c r="AT20" s="70"/>
      <c r="AU20" s="70"/>
      <c r="AV20" s="71"/>
      <c r="AW20" s="11"/>
      <c r="AX20" s="11"/>
      <c r="AY20" s="11"/>
      <c r="AZ20" s="69" t="s">
        <v>227</v>
      </c>
      <c r="BA20" s="70"/>
      <c r="BB20" s="70"/>
      <c r="BC20" s="70"/>
      <c r="BD20" s="70"/>
      <c r="BE20" s="70"/>
      <c r="BF20" s="71"/>
      <c r="BG20" s="11"/>
      <c r="BH20" s="11"/>
      <c r="BI20" s="11"/>
      <c r="BJ20" s="69" t="s">
        <v>212</v>
      </c>
      <c r="BK20" s="70"/>
      <c r="BL20" s="70"/>
      <c r="BM20" s="70"/>
      <c r="BN20" s="70"/>
      <c r="BO20" s="70"/>
      <c r="BP20" s="71"/>
      <c r="BQ20" s="11"/>
      <c r="BR20" s="11"/>
      <c r="BS20" s="11"/>
      <c r="BT20" s="69" t="s">
        <v>214</v>
      </c>
      <c r="BU20" s="70"/>
      <c r="BV20" s="70"/>
      <c r="BW20" s="70"/>
      <c r="BX20" s="70"/>
      <c r="BY20" s="70"/>
      <c r="BZ20" s="71"/>
      <c r="CD20" s="102" t="s">
        <v>401</v>
      </c>
      <c r="CE20" s="103"/>
      <c r="CF20" s="103"/>
      <c r="CG20" s="103"/>
      <c r="CH20" s="103"/>
      <c r="CI20" s="103"/>
      <c r="CJ20" s="104"/>
      <c r="CN20" s="102" t="s">
        <v>505</v>
      </c>
      <c r="CO20" s="103"/>
      <c r="CP20" s="103"/>
      <c r="CQ20" s="103"/>
      <c r="CR20" s="103"/>
      <c r="CS20" s="103"/>
      <c r="CT20" s="104"/>
      <c r="CX20" s="102" t="s">
        <v>520</v>
      </c>
      <c r="CY20" s="103"/>
      <c r="CZ20" s="103"/>
      <c r="DA20" s="103"/>
      <c r="DB20" s="103"/>
      <c r="DC20" s="103"/>
      <c r="DD20" s="104"/>
    </row>
    <row r="21" spans="2:108" ht="9.9499999999999993" customHeight="1" x14ac:dyDescent="0.25">
      <c r="B21" s="113" t="s">
        <v>60</v>
      </c>
      <c r="C21" s="114"/>
      <c r="D21" s="114"/>
      <c r="E21" s="114"/>
      <c r="F21" s="114"/>
      <c r="G21" s="114"/>
      <c r="H21" s="115"/>
      <c r="L21" s="72" t="s">
        <v>60</v>
      </c>
      <c r="M21" s="73"/>
      <c r="N21" s="73"/>
      <c r="O21" s="73"/>
      <c r="P21" s="73"/>
      <c r="Q21" s="73"/>
      <c r="R21" s="74"/>
      <c r="U21" s="91"/>
      <c r="V21" s="96" t="s">
        <v>60</v>
      </c>
      <c r="W21" s="97"/>
      <c r="X21" s="97"/>
      <c r="Y21" s="97"/>
      <c r="Z21" s="97"/>
      <c r="AA21" s="97"/>
      <c r="AB21" s="98"/>
      <c r="AE21" s="91"/>
      <c r="AF21" s="96" t="s">
        <v>60</v>
      </c>
      <c r="AG21" s="97"/>
      <c r="AH21" s="97"/>
      <c r="AI21" s="97"/>
      <c r="AJ21" s="97"/>
      <c r="AK21" s="97"/>
      <c r="AL21" s="98"/>
      <c r="AO21" s="91"/>
      <c r="AP21" s="72" t="s">
        <v>60</v>
      </c>
      <c r="AQ21" s="73"/>
      <c r="AR21" s="73"/>
      <c r="AS21" s="73"/>
      <c r="AT21" s="73"/>
      <c r="AU21" s="73"/>
      <c r="AV21" s="74"/>
      <c r="AY21" s="91"/>
      <c r="AZ21" s="72" t="s">
        <v>60</v>
      </c>
      <c r="BA21" s="73"/>
      <c r="BB21" s="73"/>
      <c r="BC21" s="73"/>
      <c r="BD21" s="73"/>
      <c r="BE21" s="73"/>
      <c r="BF21" s="74"/>
      <c r="BI21" s="91"/>
      <c r="BJ21" s="96" t="s">
        <v>60</v>
      </c>
      <c r="BK21" s="97"/>
      <c r="BL21" s="97"/>
      <c r="BM21" s="97"/>
      <c r="BN21" s="97"/>
      <c r="BO21" s="97"/>
      <c r="BP21" s="98"/>
      <c r="BS21" s="91"/>
      <c r="BT21" s="96" t="s">
        <v>60</v>
      </c>
      <c r="BU21" s="97"/>
      <c r="BV21" s="97"/>
      <c r="BW21" s="97"/>
      <c r="BX21" s="97"/>
      <c r="BY21" s="97"/>
      <c r="BZ21" s="98"/>
      <c r="CC21" s="91"/>
      <c r="CD21" s="96" t="s">
        <v>60</v>
      </c>
      <c r="CE21" s="97"/>
      <c r="CF21" s="97"/>
      <c r="CG21" s="97"/>
      <c r="CH21" s="97"/>
      <c r="CI21" s="97"/>
      <c r="CJ21" s="98"/>
      <c r="CM21" s="90"/>
      <c r="CN21" s="96" t="s">
        <v>60</v>
      </c>
      <c r="CO21" s="97"/>
      <c r="CP21" s="97"/>
      <c r="CQ21" s="97"/>
      <c r="CR21" s="97"/>
      <c r="CS21" s="97"/>
      <c r="CT21" s="98"/>
      <c r="CX21" s="96" t="s">
        <v>60</v>
      </c>
      <c r="CY21" s="97"/>
      <c r="CZ21" s="97"/>
      <c r="DA21" s="97"/>
      <c r="DB21" s="97"/>
      <c r="DC21" s="97"/>
      <c r="DD21" s="98"/>
    </row>
    <row r="22" spans="2:108" ht="9.9499999999999993" customHeight="1" x14ac:dyDescent="0.25">
      <c r="B22" s="116" t="s">
        <v>61</v>
      </c>
      <c r="C22" s="117"/>
      <c r="D22" s="117"/>
      <c r="E22" s="117"/>
      <c r="F22" s="117"/>
      <c r="G22" s="117"/>
      <c r="H22" s="118"/>
      <c r="L22" s="63" t="s">
        <v>179</v>
      </c>
      <c r="M22" s="64"/>
      <c r="N22" s="64"/>
      <c r="O22" s="64"/>
      <c r="P22" s="64"/>
      <c r="Q22" s="64"/>
      <c r="R22" s="65"/>
      <c r="U22" s="92"/>
      <c r="V22" s="81" t="s">
        <v>140</v>
      </c>
      <c r="W22" s="82"/>
      <c r="X22" s="82"/>
      <c r="Y22" s="82"/>
      <c r="Z22" s="82"/>
      <c r="AA22" s="82"/>
      <c r="AB22" s="83"/>
      <c r="AC22" s="48"/>
      <c r="AD22" s="48"/>
      <c r="AE22" s="105"/>
      <c r="AF22" s="81" t="s">
        <v>140</v>
      </c>
      <c r="AG22" s="82"/>
      <c r="AH22" s="82"/>
      <c r="AI22" s="82"/>
      <c r="AJ22" s="82"/>
      <c r="AK22" s="82"/>
      <c r="AL22" s="83"/>
      <c r="AM22" s="48"/>
      <c r="AN22" s="48"/>
      <c r="AO22" s="105"/>
      <c r="AP22" s="81" t="s">
        <v>140</v>
      </c>
      <c r="AQ22" s="82"/>
      <c r="AR22" s="82"/>
      <c r="AS22" s="82"/>
      <c r="AT22" s="82"/>
      <c r="AU22" s="82"/>
      <c r="AV22" s="83"/>
      <c r="AW22" s="48"/>
      <c r="AX22" s="48"/>
      <c r="AY22" s="105"/>
      <c r="AZ22" s="81" t="s">
        <v>140</v>
      </c>
      <c r="BA22" s="82"/>
      <c r="BB22" s="82"/>
      <c r="BC22" s="82"/>
      <c r="BD22" s="82"/>
      <c r="BE22" s="82"/>
      <c r="BF22" s="83"/>
      <c r="BI22" s="92"/>
      <c r="BJ22" s="81" t="s">
        <v>140</v>
      </c>
      <c r="BK22" s="82"/>
      <c r="BL22" s="82"/>
      <c r="BM22" s="82"/>
      <c r="BN22" s="82"/>
      <c r="BO22" s="82"/>
      <c r="BP22" s="83"/>
      <c r="BS22" s="92"/>
      <c r="BT22" s="81" t="s">
        <v>140</v>
      </c>
      <c r="BU22" s="82"/>
      <c r="BV22" s="82"/>
      <c r="BW22" s="82"/>
      <c r="BX22" s="82"/>
      <c r="BY22" s="82"/>
      <c r="BZ22" s="83"/>
      <c r="CC22" s="92"/>
      <c r="CD22" s="81" t="s">
        <v>140</v>
      </c>
      <c r="CE22" s="82"/>
      <c r="CF22" s="82"/>
      <c r="CG22" s="82"/>
      <c r="CH22" s="82"/>
      <c r="CI22" s="82"/>
      <c r="CJ22" s="83"/>
      <c r="CN22" s="81" t="s">
        <v>506</v>
      </c>
      <c r="CO22" s="82"/>
      <c r="CP22" s="82"/>
      <c r="CQ22" s="82"/>
      <c r="CR22" s="82"/>
      <c r="CS22" s="82"/>
      <c r="CT22" s="83"/>
      <c r="CX22" s="81" t="s">
        <v>522</v>
      </c>
      <c r="CY22" s="82"/>
      <c r="CZ22" s="82"/>
      <c r="DA22" s="82"/>
      <c r="DB22" s="82"/>
      <c r="DC22" s="82"/>
      <c r="DD22" s="83"/>
    </row>
    <row r="23" spans="2:108" ht="9.9499999999999993" customHeight="1" x14ac:dyDescent="0.25">
      <c r="B23" s="116" t="s">
        <v>62</v>
      </c>
      <c r="C23" s="117"/>
      <c r="D23" s="117"/>
      <c r="E23" s="117"/>
      <c r="F23" s="117"/>
      <c r="G23" s="117"/>
      <c r="H23" s="118"/>
      <c r="L23" s="63" t="s">
        <v>180</v>
      </c>
      <c r="M23" s="64"/>
      <c r="N23" s="64"/>
      <c r="O23" s="64"/>
      <c r="P23" s="64"/>
      <c r="Q23" s="64"/>
      <c r="R23" s="65"/>
      <c r="U23" s="92"/>
      <c r="V23" s="81" t="s">
        <v>187</v>
      </c>
      <c r="W23" s="82"/>
      <c r="X23" s="82"/>
      <c r="Y23" s="82"/>
      <c r="Z23" s="82"/>
      <c r="AA23" s="82"/>
      <c r="AB23" s="83"/>
      <c r="AC23" s="48"/>
      <c r="AD23" s="48"/>
      <c r="AE23" s="105"/>
      <c r="AF23" s="81" t="s">
        <v>187</v>
      </c>
      <c r="AG23" s="82"/>
      <c r="AH23" s="82"/>
      <c r="AI23" s="82"/>
      <c r="AJ23" s="82"/>
      <c r="AK23" s="82"/>
      <c r="AL23" s="83"/>
      <c r="AM23" s="48"/>
      <c r="AN23" s="48"/>
      <c r="AO23" s="105"/>
      <c r="AP23" s="81" t="s">
        <v>187</v>
      </c>
      <c r="AQ23" s="82"/>
      <c r="AR23" s="82"/>
      <c r="AS23" s="82"/>
      <c r="AT23" s="82"/>
      <c r="AU23" s="82"/>
      <c r="AV23" s="83"/>
      <c r="AW23" s="48"/>
      <c r="AX23" s="48"/>
      <c r="AY23" s="105"/>
      <c r="AZ23" s="81" t="s">
        <v>187</v>
      </c>
      <c r="BA23" s="82"/>
      <c r="BB23" s="82"/>
      <c r="BC23" s="82"/>
      <c r="BD23" s="82"/>
      <c r="BE23" s="82"/>
      <c r="BF23" s="83"/>
      <c r="BI23" s="54"/>
      <c r="BJ23" s="63" t="s">
        <v>93</v>
      </c>
      <c r="BK23" s="64"/>
      <c r="BL23" s="64"/>
      <c r="BM23" s="64"/>
      <c r="BN23" s="64"/>
      <c r="BO23" s="64"/>
      <c r="BP23" s="65"/>
      <c r="BS23" s="92"/>
      <c r="BT23" s="81" t="s">
        <v>187</v>
      </c>
      <c r="BU23" s="82"/>
      <c r="BV23" s="82"/>
      <c r="BW23" s="82"/>
      <c r="BX23" s="82"/>
      <c r="BY23" s="82"/>
      <c r="BZ23" s="83"/>
      <c r="CC23" s="92"/>
      <c r="CD23" s="81" t="s">
        <v>187</v>
      </c>
      <c r="CE23" s="82"/>
      <c r="CF23" s="82"/>
      <c r="CG23" s="82"/>
      <c r="CH23" s="82"/>
      <c r="CI23" s="82"/>
      <c r="CJ23" s="83"/>
      <c r="CN23" s="81" t="s">
        <v>507</v>
      </c>
      <c r="CO23" s="82"/>
      <c r="CP23" s="82"/>
      <c r="CQ23" s="82"/>
      <c r="CR23" s="82"/>
      <c r="CS23" s="82"/>
      <c r="CT23" s="83"/>
      <c r="CX23" s="81"/>
      <c r="CY23" s="82"/>
      <c r="CZ23" s="82"/>
      <c r="DA23" s="82"/>
      <c r="DB23" s="82"/>
      <c r="DC23" s="82"/>
      <c r="DD23" s="83"/>
    </row>
    <row r="24" spans="2:108" ht="9.9499999999999993" customHeight="1" x14ac:dyDescent="0.25">
      <c r="B24" s="116" t="s">
        <v>89</v>
      </c>
      <c r="C24" s="117"/>
      <c r="D24" s="117"/>
      <c r="E24" s="117"/>
      <c r="F24" s="117"/>
      <c r="G24" s="117"/>
      <c r="H24" s="118"/>
      <c r="L24" s="75"/>
      <c r="M24" s="76"/>
      <c r="N24" s="76"/>
      <c r="O24" s="76"/>
      <c r="P24" s="76"/>
      <c r="Q24" s="76"/>
      <c r="R24" s="77"/>
      <c r="V24" s="81" t="s">
        <v>402</v>
      </c>
      <c r="W24" s="82"/>
      <c r="X24" s="82"/>
      <c r="Y24" s="82"/>
      <c r="Z24" s="82"/>
      <c r="AA24" s="82"/>
      <c r="AB24" s="83"/>
      <c r="AF24" s="75"/>
      <c r="AG24" s="76"/>
      <c r="AH24" s="76"/>
      <c r="AI24" s="76"/>
      <c r="AJ24" s="76"/>
      <c r="AK24" s="76"/>
      <c r="AL24" s="77"/>
      <c r="AP24" s="75"/>
      <c r="AQ24" s="76"/>
      <c r="AR24" s="76"/>
      <c r="AS24" s="76"/>
      <c r="AT24" s="76"/>
      <c r="AU24" s="76"/>
      <c r="AV24" s="77"/>
      <c r="AZ24" s="75"/>
      <c r="BA24" s="76"/>
      <c r="BB24" s="76"/>
      <c r="BC24" s="76"/>
      <c r="BD24" s="76"/>
      <c r="BE24" s="76"/>
      <c r="BF24" s="77"/>
      <c r="BI24" s="54"/>
      <c r="BJ24" s="63" t="s">
        <v>94</v>
      </c>
      <c r="BK24" s="64"/>
      <c r="BL24" s="64"/>
      <c r="BM24" s="64"/>
      <c r="BN24" s="64"/>
      <c r="BO24" s="64"/>
      <c r="BP24" s="65"/>
      <c r="BT24" s="75"/>
      <c r="BU24" s="76"/>
      <c r="BV24" s="76"/>
      <c r="BW24" s="76"/>
      <c r="BX24" s="76"/>
      <c r="BY24" s="76"/>
      <c r="BZ24" s="77"/>
      <c r="CD24" s="75"/>
      <c r="CE24" s="76"/>
      <c r="CF24" s="76"/>
      <c r="CG24" s="76"/>
      <c r="CH24" s="76"/>
      <c r="CI24" s="76"/>
      <c r="CJ24" s="77"/>
      <c r="CN24" s="75"/>
      <c r="CO24" s="76"/>
      <c r="CP24" s="76"/>
      <c r="CQ24" s="76"/>
      <c r="CR24" s="76"/>
      <c r="CS24" s="76"/>
      <c r="CT24" s="77"/>
      <c r="CX24" s="75"/>
      <c r="CY24" s="76"/>
      <c r="CZ24" s="76"/>
      <c r="DA24" s="76"/>
      <c r="DB24" s="76"/>
      <c r="DC24" s="76"/>
      <c r="DD24" s="77"/>
    </row>
    <row r="25" spans="2:108" ht="9.9499999999999993" customHeight="1" x14ac:dyDescent="0.25">
      <c r="B25" s="63"/>
      <c r="C25" s="64"/>
      <c r="D25" s="64"/>
      <c r="E25" s="64"/>
      <c r="F25" s="64"/>
      <c r="G25" s="64"/>
      <c r="H25" s="65"/>
      <c r="L25" s="63"/>
      <c r="M25" s="64"/>
      <c r="N25" s="64"/>
      <c r="O25" s="64"/>
      <c r="P25" s="64"/>
      <c r="Q25" s="64"/>
      <c r="R25" s="65"/>
      <c r="V25" s="81" t="s">
        <v>403</v>
      </c>
      <c r="W25" s="82"/>
      <c r="X25" s="82"/>
      <c r="Y25" s="82"/>
      <c r="Z25" s="82"/>
      <c r="AA25" s="82"/>
      <c r="AB25" s="83"/>
      <c r="AF25" s="63"/>
      <c r="AG25" s="64"/>
      <c r="AH25" s="64"/>
      <c r="AI25" s="64"/>
      <c r="AJ25" s="64"/>
      <c r="AK25" s="64"/>
      <c r="AL25" s="65"/>
      <c r="AP25" s="63"/>
      <c r="AQ25" s="64"/>
      <c r="AR25" s="64"/>
      <c r="AS25" s="64"/>
      <c r="AT25" s="64"/>
      <c r="AU25" s="64"/>
      <c r="AV25" s="65"/>
      <c r="AZ25" s="75"/>
      <c r="BA25" s="76"/>
      <c r="BB25" s="76"/>
      <c r="BC25" s="76"/>
      <c r="BD25" s="76"/>
      <c r="BE25" s="76"/>
      <c r="BF25" s="77"/>
      <c r="BI25" s="54"/>
      <c r="BJ25" s="63" t="s">
        <v>95</v>
      </c>
      <c r="BK25" s="64"/>
      <c r="BL25" s="64"/>
      <c r="BM25" s="64"/>
      <c r="BN25" s="64"/>
      <c r="BO25" s="64"/>
      <c r="BP25" s="65"/>
      <c r="BT25" s="75"/>
      <c r="BU25" s="76"/>
      <c r="BV25" s="76"/>
      <c r="BW25" s="76"/>
      <c r="BX25" s="76"/>
      <c r="BY25" s="76"/>
      <c r="BZ25" s="77"/>
      <c r="CD25" s="63"/>
      <c r="CE25" s="64"/>
      <c r="CF25" s="64"/>
      <c r="CG25" s="64"/>
      <c r="CH25" s="64"/>
      <c r="CI25" s="64"/>
      <c r="CJ25" s="65"/>
      <c r="CN25" s="63"/>
      <c r="CO25" s="64"/>
      <c r="CP25" s="64"/>
      <c r="CQ25" s="64"/>
      <c r="CR25" s="64"/>
      <c r="CS25" s="64"/>
      <c r="CT25" s="65"/>
      <c r="CX25" s="63"/>
      <c r="CY25" s="64"/>
      <c r="CZ25" s="64"/>
      <c r="DA25" s="64"/>
      <c r="DB25" s="64"/>
      <c r="DC25" s="64"/>
      <c r="DD25" s="65"/>
    </row>
    <row r="26" spans="2:108" ht="9.9499999999999993" customHeight="1" x14ac:dyDescent="0.25">
      <c r="B26" s="63"/>
      <c r="C26" s="64"/>
      <c r="D26" s="64"/>
      <c r="E26" s="64"/>
      <c r="F26" s="64"/>
      <c r="G26" s="64"/>
      <c r="H26" s="65"/>
      <c r="L26" s="63"/>
      <c r="M26" s="64"/>
      <c r="N26" s="64"/>
      <c r="O26" s="64"/>
      <c r="P26" s="64"/>
      <c r="Q26" s="64"/>
      <c r="R26" s="65"/>
      <c r="V26" s="81" t="s">
        <v>404</v>
      </c>
      <c r="W26" s="82"/>
      <c r="X26" s="82"/>
      <c r="Y26" s="82"/>
      <c r="Z26" s="82"/>
      <c r="AA26" s="82"/>
      <c r="AB26" s="83"/>
      <c r="AF26" s="63"/>
      <c r="AG26" s="64"/>
      <c r="AH26" s="64"/>
      <c r="AI26" s="64"/>
      <c r="AJ26" s="64"/>
      <c r="AK26" s="64"/>
      <c r="AL26" s="65"/>
      <c r="AP26" s="63"/>
      <c r="AQ26" s="64"/>
      <c r="AR26" s="64"/>
      <c r="AS26" s="64"/>
      <c r="AT26" s="64"/>
      <c r="AU26" s="64"/>
      <c r="AV26" s="65"/>
      <c r="AZ26" s="75"/>
      <c r="BA26" s="76"/>
      <c r="BB26" s="76"/>
      <c r="BC26" s="76"/>
      <c r="BD26" s="76"/>
      <c r="BE26" s="76"/>
      <c r="BF26" s="77"/>
      <c r="BI26" s="54"/>
      <c r="BJ26" s="63" t="s">
        <v>132</v>
      </c>
      <c r="BK26" s="64"/>
      <c r="BL26" s="64"/>
      <c r="BM26" s="64"/>
      <c r="BN26" s="64"/>
      <c r="BO26" s="64"/>
      <c r="BP26" s="65"/>
      <c r="BT26" s="75"/>
      <c r="BU26" s="76"/>
      <c r="BV26" s="76"/>
      <c r="BW26" s="76"/>
      <c r="BX26" s="76"/>
      <c r="BY26" s="76"/>
      <c r="BZ26" s="77"/>
      <c r="CD26" s="63"/>
      <c r="CE26" s="64"/>
      <c r="CF26" s="64"/>
      <c r="CG26" s="64"/>
      <c r="CH26" s="64"/>
      <c r="CI26" s="64"/>
      <c r="CJ26" s="65"/>
      <c r="CN26" s="63"/>
      <c r="CO26" s="64"/>
      <c r="CP26" s="64"/>
      <c r="CQ26" s="64"/>
      <c r="CR26" s="64"/>
      <c r="CS26" s="64"/>
      <c r="CT26" s="65"/>
      <c r="CX26" s="63"/>
      <c r="CY26" s="64"/>
      <c r="CZ26" s="64"/>
      <c r="DA26" s="64"/>
      <c r="DB26" s="64"/>
      <c r="DC26" s="64"/>
      <c r="DD26" s="65"/>
    </row>
    <row r="27" spans="2:108" ht="9.9499999999999993" customHeight="1" x14ac:dyDescent="0.25">
      <c r="B27" s="63"/>
      <c r="C27" s="64"/>
      <c r="D27" s="64"/>
      <c r="E27" s="64"/>
      <c r="F27" s="64"/>
      <c r="G27" s="64"/>
      <c r="H27" s="65"/>
      <c r="L27" s="63"/>
      <c r="M27" s="64"/>
      <c r="N27" s="64"/>
      <c r="O27" s="64"/>
      <c r="P27" s="64"/>
      <c r="Q27" s="64"/>
      <c r="R27" s="65"/>
      <c r="V27" s="63"/>
      <c r="W27" s="64"/>
      <c r="X27" s="64"/>
      <c r="Y27" s="64"/>
      <c r="Z27" s="64"/>
      <c r="AA27" s="64"/>
      <c r="AB27" s="65"/>
      <c r="AF27" s="63"/>
      <c r="AG27" s="64"/>
      <c r="AH27" s="64"/>
      <c r="AI27" s="64"/>
      <c r="AJ27" s="64"/>
      <c r="AK27" s="64"/>
      <c r="AL27" s="65"/>
      <c r="AP27" s="63"/>
      <c r="AQ27" s="64"/>
      <c r="AR27" s="64"/>
      <c r="AS27" s="64"/>
      <c r="AT27" s="64"/>
      <c r="AU27" s="64"/>
      <c r="AV27" s="65"/>
      <c r="AZ27" s="63"/>
      <c r="BA27" s="64"/>
      <c r="BB27" s="64"/>
      <c r="BC27" s="64"/>
      <c r="BD27" s="64"/>
      <c r="BE27" s="64"/>
      <c r="BF27" s="65"/>
      <c r="BI27" s="54"/>
      <c r="BJ27" s="63" t="s">
        <v>136</v>
      </c>
      <c r="BK27" s="64"/>
      <c r="BL27" s="64"/>
      <c r="BM27" s="64"/>
      <c r="BN27" s="64"/>
      <c r="BO27" s="64"/>
      <c r="BP27" s="65"/>
      <c r="BT27" s="75"/>
      <c r="BU27" s="76"/>
      <c r="BV27" s="76"/>
      <c r="BW27" s="76"/>
      <c r="BX27" s="76"/>
      <c r="BY27" s="76"/>
      <c r="BZ27" s="77"/>
      <c r="CD27" s="75"/>
      <c r="CE27" s="76"/>
      <c r="CF27" s="76"/>
      <c r="CG27" s="76"/>
      <c r="CH27" s="76"/>
      <c r="CI27" s="76"/>
      <c r="CJ27" s="77"/>
      <c r="CN27" s="75"/>
      <c r="CO27" s="76"/>
      <c r="CP27" s="76"/>
      <c r="CQ27" s="76"/>
      <c r="CR27" s="76"/>
      <c r="CS27" s="76"/>
      <c r="CT27" s="77"/>
      <c r="CX27" s="75"/>
      <c r="CY27" s="76"/>
      <c r="CZ27" s="76"/>
      <c r="DA27" s="76"/>
      <c r="DB27" s="76"/>
      <c r="DC27" s="76"/>
      <c r="DD27" s="77"/>
    </row>
    <row r="28" spans="2:108" ht="9.9499999999999993" customHeight="1" x14ac:dyDescent="0.25">
      <c r="B28" s="63"/>
      <c r="C28" s="64"/>
      <c r="D28" s="64"/>
      <c r="E28" s="64"/>
      <c r="F28" s="64"/>
      <c r="G28" s="64"/>
      <c r="H28" s="65"/>
      <c r="L28" s="63"/>
      <c r="M28" s="64"/>
      <c r="N28" s="64"/>
      <c r="O28" s="64"/>
      <c r="P28" s="64"/>
      <c r="Q28" s="64"/>
      <c r="R28" s="65"/>
      <c r="V28" s="63"/>
      <c r="W28" s="64"/>
      <c r="X28" s="64"/>
      <c r="Y28" s="64"/>
      <c r="Z28" s="64"/>
      <c r="AA28" s="64"/>
      <c r="AB28" s="65"/>
      <c r="AF28" s="63"/>
      <c r="AG28" s="64"/>
      <c r="AH28" s="64"/>
      <c r="AI28" s="64"/>
      <c r="AJ28" s="64"/>
      <c r="AK28" s="64"/>
      <c r="AL28" s="65"/>
      <c r="AP28" s="63"/>
      <c r="AQ28" s="64"/>
      <c r="AR28" s="64"/>
      <c r="AS28" s="64"/>
      <c r="AT28" s="64"/>
      <c r="AU28" s="64"/>
      <c r="AV28" s="65"/>
      <c r="AZ28" s="63"/>
      <c r="BA28" s="64"/>
      <c r="BB28" s="64"/>
      <c r="BC28" s="64"/>
      <c r="BD28" s="64"/>
      <c r="BE28" s="64"/>
      <c r="BF28" s="65"/>
      <c r="BI28" s="109"/>
      <c r="BJ28" s="75"/>
      <c r="BK28" s="76"/>
      <c r="BL28" s="76"/>
      <c r="BM28" s="76"/>
      <c r="BN28" s="76"/>
      <c r="BO28" s="76"/>
      <c r="BP28" s="77"/>
      <c r="BT28" s="63"/>
      <c r="BU28" s="64"/>
      <c r="BV28" s="64"/>
      <c r="BW28" s="64"/>
      <c r="BX28" s="64"/>
      <c r="BY28" s="64"/>
      <c r="BZ28" s="65"/>
      <c r="CD28" s="63"/>
      <c r="CE28" s="64"/>
      <c r="CF28" s="64"/>
      <c r="CG28" s="64"/>
      <c r="CH28" s="64"/>
      <c r="CI28" s="64"/>
      <c r="CJ28" s="65"/>
      <c r="CN28" s="63"/>
      <c r="CO28" s="64"/>
      <c r="CP28" s="64"/>
      <c r="CQ28" s="64"/>
      <c r="CR28" s="64"/>
      <c r="CS28" s="64"/>
      <c r="CT28" s="65"/>
      <c r="CX28" s="63"/>
      <c r="CY28" s="64"/>
      <c r="CZ28" s="64"/>
      <c r="DA28" s="64"/>
      <c r="DB28" s="64"/>
      <c r="DC28" s="64"/>
      <c r="DD28" s="65"/>
    </row>
    <row r="29" spans="2:108" ht="9.9499999999999993" customHeight="1" x14ac:dyDescent="0.25">
      <c r="B29" s="63"/>
      <c r="C29" s="64"/>
      <c r="D29" s="64"/>
      <c r="E29" s="64"/>
      <c r="F29" s="64"/>
      <c r="G29" s="64"/>
      <c r="H29" s="65"/>
      <c r="L29" s="63"/>
      <c r="M29" s="64"/>
      <c r="N29" s="64"/>
      <c r="O29" s="64"/>
      <c r="P29" s="64"/>
      <c r="Q29" s="64"/>
      <c r="R29" s="65"/>
      <c r="V29" s="81" t="s">
        <v>405</v>
      </c>
      <c r="W29" s="82"/>
      <c r="X29" s="82"/>
      <c r="Y29" s="82"/>
      <c r="Z29" s="82"/>
      <c r="AA29" s="82"/>
      <c r="AB29" s="83"/>
      <c r="AF29" s="63"/>
      <c r="AG29" s="64"/>
      <c r="AH29" s="64"/>
      <c r="AI29" s="64"/>
      <c r="AJ29" s="64"/>
      <c r="AK29" s="64"/>
      <c r="AL29" s="65"/>
      <c r="AP29" s="63"/>
      <c r="AQ29" s="64"/>
      <c r="AR29" s="64"/>
      <c r="AS29" s="64"/>
      <c r="AT29" s="64"/>
      <c r="AU29" s="64"/>
      <c r="AV29" s="65"/>
      <c r="AZ29" s="63" t="s">
        <v>358</v>
      </c>
      <c r="BA29" s="64"/>
      <c r="BB29" s="64"/>
      <c r="BC29" s="64"/>
      <c r="BD29" s="64"/>
      <c r="BE29" s="64"/>
      <c r="BF29" s="65"/>
      <c r="BI29" s="109"/>
      <c r="BJ29" s="75"/>
      <c r="BK29" s="76"/>
      <c r="BL29" s="76"/>
      <c r="BM29" s="76"/>
      <c r="BN29" s="76"/>
      <c r="BO29" s="76"/>
      <c r="BP29" s="77"/>
      <c r="BT29" s="75" t="s">
        <v>193</v>
      </c>
      <c r="BU29" s="76"/>
      <c r="BV29" s="76"/>
      <c r="BW29" s="76"/>
      <c r="BX29" s="76"/>
      <c r="BY29" s="76"/>
      <c r="BZ29" s="77"/>
      <c r="CD29" s="75"/>
      <c r="CE29" s="76"/>
      <c r="CF29" s="76"/>
      <c r="CG29" s="76"/>
      <c r="CH29" s="76"/>
      <c r="CI29" s="76"/>
      <c r="CJ29" s="77"/>
      <c r="CN29" s="75"/>
      <c r="CO29" s="76"/>
      <c r="CP29" s="76"/>
      <c r="CQ29" s="76"/>
      <c r="CR29" s="76"/>
      <c r="CS29" s="76"/>
      <c r="CT29" s="77"/>
      <c r="CX29" s="75"/>
      <c r="CY29" s="76"/>
      <c r="CZ29" s="76"/>
      <c r="DA29" s="76"/>
      <c r="DB29" s="76"/>
      <c r="DC29" s="76"/>
      <c r="DD29" s="77"/>
    </row>
    <row r="30" spans="2:108" ht="9.9499999999999993" customHeight="1" x14ac:dyDescent="0.25">
      <c r="B30" s="63"/>
      <c r="C30" s="64"/>
      <c r="D30" s="64"/>
      <c r="E30" s="64"/>
      <c r="F30" s="64"/>
      <c r="G30" s="64"/>
      <c r="H30" s="65"/>
      <c r="L30" s="63"/>
      <c r="M30" s="64"/>
      <c r="N30" s="64"/>
      <c r="O30" s="64"/>
      <c r="P30" s="64"/>
      <c r="Q30" s="64"/>
      <c r="R30" s="65"/>
      <c r="V30" s="81" t="s">
        <v>406</v>
      </c>
      <c r="W30" s="82"/>
      <c r="X30" s="82"/>
      <c r="Y30" s="82"/>
      <c r="Z30" s="82"/>
      <c r="AA30" s="82"/>
      <c r="AB30" s="83"/>
      <c r="AF30" s="63"/>
      <c r="AG30" s="64"/>
      <c r="AH30" s="64"/>
      <c r="AI30" s="64"/>
      <c r="AJ30" s="64"/>
      <c r="AK30" s="64"/>
      <c r="AL30" s="65"/>
      <c r="AP30" s="63"/>
      <c r="AQ30" s="64"/>
      <c r="AR30" s="64"/>
      <c r="AS30" s="64"/>
      <c r="AT30" s="64"/>
      <c r="AU30" s="64"/>
      <c r="AV30" s="65"/>
      <c r="AZ30" s="63" t="s">
        <v>229</v>
      </c>
      <c r="BA30" s="64"/>
      <c r="BB30" s="64"/>
      <c r="BC30" s="64"/>
      <c r="BD30" s="64"/>
      <c r="BE30" s="64"/>
      <c r="BF30" s="65"/>
      <c r="BJ30" s="75"/>
      <c r="BK30" s="76"/>
      <c r="BL30" s="76"/>
      <c r="BM30" s="76"/>
      <c r="BN30" s="76"/>
      <c r="BO30" s="76"/>
      <c r="BP30" s="77"/>
      <c r="BT30" s="75" t="s">
        <v>194</v>
      </c>
      <c r="BU30" s="76"/>
      <c r="BV30" s="76"/>
      <c r="BW30" s="76"/>
      <c r="BX30" s="76"/>
      <c r="BY30" s="76"/>
      <c r="BZ30" s="77"/>
      <c r="CD30" s="63"/>
      <c r="CE30" s="64"/>
      <c r="CF30" s="64"/>
      <c r="CG30" s="64"/>
      <c r="CH30" s="64"/>
      <c r="CI30" s="64"/>
      <c r="CJ30" s="65"/>
      <c r="CN30" s="63"/>
      <c r="CO30" s="64"/>
      <c r="CP30" s="64"/>
      <c r="CQ30" s="64"/>
      <c r="CR30" s="64"/>
      <c r="CS30" s="64"/>
      <c r="CT30" s="65"/>
      <c r="CX30" s="63"/>
      <c r="CY30" s="64"/>
      <c r="CZ30" s="64"/>
      <c r="DA30" s="64"/>
      <c r="DB30" s="64"/>
      <c r="DC30" s="64"/>
      <c r="DD30" s="65"/>
    </row>
    <row r="31" spans="2:108" ht="9.9499999999999993" customHeight="1" x14ac:dyDescent="0.25">
      <c r="B31" s="110"/>
      <c r="C31" s="111"/>
      <c r="D31" s="111"/>
      <c r="E31" s="111"/>
      <c r="F31" s="111"/>
      <c r="G31" s="111"/>
      <c r="H31" s="112"/>
      <c r="L31" s="75" t="s">
        <v>164</v>
      </c>
      <c r="M31" s="76"/>
      <c r="N31" s="76"/>
      <c r="O31" s="76"/>
      <c r="P31" s="76"/>
      <c r="Q31" s="76"/>
      <c r="R31" s="77"/>
      <c r="V31" s="63" t="s">
        <v>194</v>
      </c>
      <c r="W31" s="64"/>
      <c r="X31" s="64"/>
      <c r="Y31" s="64"/>
      <c r="Z31" s="64"/>
      <c r="AA31" s="64"/>
      <c r="AB31" s="65"/>
      <c r="AF31" s="63" t="s">
        <v>193</v>
      </c>
      <c r="AG31" s="64"/>
      <c r="AH31" s="64"/>
      <c r="AI31" s="64"/>
      <c r="AJ31" s="64"/>
      <c r="AK31" s="64"/>
      <c r="AL31" s="65"/>
      <c r="AP31" s="63" t="s">
        <v>195</v>
      </c>
      <c r="AQ31" s="64"/>
      <c r="AR31" s="64"/>
      <c r="AS31" s="64"/>
      <c r="AT31" s="64"/>
      <c r="AU31" s="64"/>
      <c r="AV31" s="65"/>
      <c r="AZ31" s="63" t="s">
        <v>288</v>
      </c>
      <c r="BA31" s="64"/>
      <c r="BB31" s="64"/>
      <c r="BC31" s="64"/>
      <c r="BD31" s="64"/>
      <c r="BE31" s="64"/>
      <c r="BF31" s="65"/>
      <c r="BJ31" s="66"/>
      <c r="BK31" s="67"/>
      <c r="BL31" s="67"/>
      <c r="BM31" s="67"/>
      <c r="BN31" s="67"/>
      <c r="BO31" s="67"/>
      <c r="BP31" s="68"/>
      <c r="BT31" s="75" t="s">
        <v>195</v>
      </c>
      <c r="BU31" s="76"/>
      <c r="BV31" s="76"/>
      <c r="BW31" s="76"/>
      <c r="BX31" s="76"/>
      <c r="BY31" s="76"/>
      <c r="BZ31" s="77"/>
      <c r="CC31" s="54"/>
      <c r="CD31" s="63" t="s">
        <v>504</v>
      </c>
      <c r="CE31" s="64"/>
      <c r="CF31" s="64"/>
      <c r="CG31" s="64"/>
      <c r="CH31" s="64"/>
      <c r="CI31" s="64"/>
      <c r="CJ31" s="65"/>
      <c r="CN31" s="63" t="s">
        <v>521</v>
      </c>
      <c r="CO31" s="64"/>
      <c r="CP31" s="64"/>
      <c r="CQ31" s="64"/>
      <c r="CR31" s="64"/>
      <c r="CS31" s="64"/>
      <c r="CT31" s="65"/>
      <c r="CX31" s="66"/>
      <c r="CY31" s="67"/>
      <c r="CZ31" s="67"/>
      <c r="DA31" s="67"/>
      <c r="DB31" s="67"/>
      <c r="DC31" s="67"/>
      <c r="DD31" s="68"/>
    </row>
    <row r="33" spans="2:103" ht="9.9499999999999993" customHeight="1" x14ac:dyDescent="0.25">
      <c r="CX33" s="1">
        <v>1</v>
      </c>
      <c r="CY33" s="1" t="s">
        <v>523</v>
      </c>
    </row>
    <row r="34" spans="2:103" ht="9.9499999999999993" customHeight="1" x14ac:dyDescent="0.25">
      <c r="I34" s="2"/>
      <c r="J34" s="2"/>
      <c r="K34" s="11"/>
      <c r="L34" s="11"/>
      <c r="M34" s="11"/>
      <c r="N34" s="11"/>
      <c r="O34" s="11"/>
      <c r="P34" s="11"/>
      <c r="Q34" s="11"/>
      <c r="R34" s="11"/>
      <c r="S34" s="11"/>
      <c r="T34" s="11"/>
      <c r="CX34" s="1">
        <v>2</v>
      </c>
      <c r="CY34" s="1" t="s">
        <v>524</v>
      </c>
    </row>
    <row r="35" spans="2:103" ht="9.9499999999999993" customHeight="1" x14ac:dyDescent="0.25">
      <c r="B35" s="69" t="s">
        <v>219</v>
      </c>
      <c r="C35" s="70"/>
      <c r="D35" s="70"/>
      <c r="E35" s="70"/>
      <c r="F35" s="70"/>
      <c r="G35" s="70"/>
      <c r="H35" s="71"/>
      <c r="L35" s="69" t="s">
        <v>58</v>
      </c>
      <c r="M35" s="70"/>
      <c r="N35" s="70"/>
      <c r="O35" s="70"/>
      <c r="P35" s="70"/>
      <c r="Q35" s="70"/>
      <c r="R35" s="71"/>
      <c r="V35" s="69" t="s">
        <v>225</v>
      </c>
      <c r="W35" s="70"/>
      <c r="X35" s="70"/>
      <c r="Y35" s="70"/>
      <c r="Z35" s="70"/>
      <c r="AA35" s="70"/>
      <c r="AB35" s="71"/>
      <c r="AF35" s="69" t="s">
        <v>221</v>
      </c>
      <c r="AG35" s="70"/>
      <c r="AH35" s="70"/>
      <c r="AI35" s="70"/>
      <c r="AJ35" s="70"/>
      <c r="AK35" s="70"/>
      <c r="AL35" s="71"/>
      <c r="AP35" s="69" t="s">
        <v>218</v>
      </c>
      <c r="AQ35" s="70"/>
      <c r="AR35" s="70"/>
      <c r="AS35" s="70"/>
      <c r="AT35" s="70"/>
      <c r="AU35" s="70"/>
      <c r="AV35" s="71"/>
      <c r="AW35" s="11"/>
      <c r="AX35" s="11"/>
      <c r="AY35" s="11"/>
      <c r="AZ35" s="69" t="s">
        <v>228</v>
      </c>
      <c r="BA35" s="70"/>
      <c r="BB35" s="70"/>
      <c r="BC35" s="70"/>
      <c r="BD35" s="70"/>
      <c r="BE35" s="70"/>
      <c r="BF35" s="71"/>
      <c r="BG35" s="11"/>
      <c r="BH35" s="11"/>
      <c r="BI35" s="11"/>
      <c r="BQ35" s="11"/>
      <c r="BR35" s="11"/>
      <c r="BS35" s="11"/>
      <c r="CD35" s="69" t="s">
        <v>396</v>
      </c>
      <c r="CE35" s="70"/>
      <c r="CF35" s="70"/>
      <c r="CG35" s="70"/>
      <c r="CH35" s="70"/>
      <c r="CI35" s="70"/>
      <c r="CJ35" s="71"/>
      <c r="CX35" s="1">
        <v>3</v>
      </c>
      <c r="CY35" s="1" t="s">
        <v>525</v>
      </c>
    </row>
    <row r="36" spans="2:103" ht="9.9499999999999993" customHeight="1" x14ac:dyDescent="0.25">
      <c r="B36" s="72" t="s">
        <v>60</v>
      </c>
      <c r="C36" s="73"/>
      <c r="D36" s="73"/>
      <c r="E36" s="73"/>
      <c r="F36" s="73"/>
      <c r="G36" s="73"/>
      <c r="H36" s="74"/>
      <c r="L36" s="72" t="s">
        <v>60</v>
      </c>
      <c r="M36" s="73"/>
      <c r="N36" s="73"/>
      <c r="O36" s="73"/>
      <c r="P36" s="73"/>
      <c r="Q36" s="73"/>
      <c r="R36" s="74"/>
      <c r="V36" s="72" t="s">
        <v>60</v>
      </c>
      <c r="W36" s="73"/>
      <c r="X36" s="73"/>
      <c r="Y36" s="73"/>
      <c r="Z36" s="73"/>
      <c r="AA36" s="73"/>
      <c r="AB36" s="74"/>
      <c r="AF36" s="72" t="s">
        <v>60</v>
      </c>
      <c r="AG36" s="73"/>
      <c r="AH36" s="73"/>
      <c r="AI36" s="73"/>
      <c r="AJ36" s="73"/>
      <c r="AK36" s="73"/>
      <c r="AL36" s="74"/>
      <c r="AP36" s="72" t="s">
        <v>60</v>
      </c>
      <c r="AQ36" s="73"/>
      <c r="AR36" s="73"/>
      <c r="AS36" s="73"/>
      <c r="AT36" s="73"/>
      <c r="AU36" s="73"/>
      <c r="AV36" s="74"/>
      <c r="AZ36" s="72" t="s">
        <v>60</v>
      </c>
      <c r="BA36" s="73"/>
      <c r="BB36" s="73"/>
      <c r="BC36" s="73"/>
      <c r="BD36" s="73"/>
      <c r="BE36" s="73"/>
      <c r="BF36" s="74"/>
      <c r="CD36" s="96" t="s">
        <v>60</v>
      </c>
      <c r="CE36" s="97"/>
      <c r="CF36" s="97"/>
      <c r="CG36" s="97"/>
      <c r="CH36" s="97"/>
      <c r="CI36" s="97"/>
      <c r="CJ36" s="98"/>
    </row>
    <row r="37" spans="2:103" ht="9.9499999999999993" customHeight="1" x14ac:dyDescent="0.25">
      <c r="B37" s="63" t="s">
        <v>266</v>
      </c>
      <c r="C37" s="64"/>
      <c r="D37" s="64"/>
      <c r="E37" s="64"/>
      <c r="F37" s="64"/>
      <c r="G37" s="64"/>
      <c r="H37" s="65"/>
      <c r="L37" s="63" t="s">
        <v>4</v>
      </c>
      <c r="M37" s="64"/>
      <c r="N37" s="64"/>
      <c r="O37" s="64"/>
      <c r="P37" s="64"/>
      <c r="Q37" s="64"/>
      <c r="R37" s="65"/>
      <c r="V37" s="63" t="s">
        <v>337</v>
      </c>
      <c r="W37" s="64"/>
      <c r="X37" s="64"/>
      <c r="Y37" s="64"/>
      <c r="Z37" s="64"/>
      <c r="AA37" s="64"/>
      <c r="AB37" s="65"/>
      <c r="AF37" s="63" t="s">
        <v>299</v>
      </c>
      <c r="AG37" s="64"/>
      <c r="AH37" s="64"/>
      <c r="AI37" s="64"/>
      <c r="AJ37" s="64"/>
      <c r="AK37" s="64"/>
      <c r="AL37" s="65"/>
      <c r="AP37" s="63" t="s">
        <v>204</v>
      </c>
      <c r="AQ37" s="64"/>
      <c r="AR37" s="64"/>
      <c r="AS37" s="64"/>
      <c r="AT37" s="64"/>
      <c r="AU37" s="64"/>
      <c r="AV37" s="65"/>
      <c r="AZ37" s="63" t="s">
        <v>377</v>
      </c>
      <c r="BA37" s="64"/>
      <c r="BB37" s="64"/>
      <c r="BC37" s="64"/>
      <c r="BD37" s="64"/>
      <c r="BE37" s="64"/>
      <c r="BF37" s="65"/>
      <c r="CD37" s="63"/>
      <c r="CE37" s="64"/>
      <c r="CF37" s="64"/>
      <c r="CG37" s="64"/>
      <c r="CH37" s="64"/>
      <c r="CI37" s="64"/>
      <c r="CJ37" s="65"/>
    </row>
    <row r="38" spans="2:103" ht="9.9499999999999993" customHeight="1" x14ac:dyDescent="0.25">
      <c r="B38" s="63"/>
      <c r="C38" s="64"/>
      <c r="D38" s="64"/>
      <c r="E38" s="64"/>
      <c r="F38" s="64"/>
      <c r="G38" s="64"/>
      <c r="H38" s="65"/>
      <c r="L38" s="63"/>
      <c r="M38" s="64"/>
      <c r="N38" s="64"/>
      <c r="O38" s="64"/>
      <c r="P38" s="64"/>
      <c r="Q38" s="64"/>
      <c r="R38" s="65"/>
      <c r="V38" s="63" t="s">
        <v>336</v>
      </c>
      <c r="W38" s="64"/>
      <c r="X38" s="64"/>
      <c r="Y38" s="64"/>
      <c r="Z38" s="64"/>
      <c r="AA38" s="64"/>
      <c r="AB38" s="65"/>
      <c r="AF38" s="63" t="s">
        <v>300</v>
      </c>
      <c r="AG38" s="64"/>
      <c r="AH38" s="64"/>
      <c r="AI38" s="64"/>
      <c r="AJ38" s="64"/>
      <c r="AK38" s="64"/>
      <c r="AL38" s="65"/>
      <c r="AP38" s="63" t="s">
        <v>205</v>
      </c>
      <c r="AQ38" s="64"/>
      <c r="AR38" s="64"/>
      <c r="AS38" s="64"/>
      <c r="AT38" s="64"/>
      <c r="AU38" s="64"/>
      <c r="AV38" s="65"/>
      <c r="AZ38" s="63" t="s">
        <v>378</v>
      </c>
      <c r="BA38" s="64"/>
      <c r="BB38" s="64"/>
      <c r="BC38" s="64"/>
      <c r="BD38" s="64"/>
      <c r="BE38" s="64"/>
      <c r="BF38" s="65"/>
      <c r="CD38" s="63"/>
      <c r="CE38" s="64"/>
      <c r="CF38" s="64"/>
      <c r="CG38" s="64"/>
      <c r="CH38" s="64"/>
      <c r="CI38" s="64"/>
      <c r="CJ38" s="65"/>
    </row>
    <row r="39" spans="2:103" ht="9.9499999999999993" customHeight="1" x14ac:dyDescent="0.25">
      <c r="B39" s="63"/>
      <c r="C39" s="64"/>
      <c r="D39" s="64"/>
      <c r="E39" s="64"/>
      <c r="F39" s="64"/>
      <c r="G39" s="64"/>
      <c r="H39" s="65"/>
      <c r="L39" s="63"/>
      <c r="M39" s="64"/>
      <c r="N39" s="64"/>
      <c r="O39" s="64"/>
      <c r="P39" s="64"/>
      <c r="Q39" s="64"/>
      <c r="R39" s="65"/>
      <c r="V39" s="63"/>
      <c r="W39" s="64"/>
      <c r="X39" s="64"/>
      <c r="Y39" s="64"/>
      <c r="Z39" s="64"/>
      <c r="AA39" s="64"/>
      <c r="AB39" s="65"/>
      <c r="AF39" s="63" t="s">
        <v>357</v>
      </c>
      <c r="AG39" s="64"/>
      <c r="AH39" s="64"/>
      <c r="AI39" s="64"/>
      <c r="AJ39" s="64"/>
      <c r="AK39" s="64"/>
      <c r="AL39" s="65"/>
      <c r="AP39" s="63"/>
      <c r="AQ39" s="64"/>
      <c r="AR39" s="64"/>
      <c r="AS39" s="64"/>
      <c r="AT39" s="64"/>
      <c r="AU39" s="64"/>
      <c r="AV39" s="65"/>
      <c r="AZ39" s="63"/>
      <c r="BA39" s="64"/>
      <c r="BB39" s="64"/>
      <c r="BC39" s="64"/>
      <c r="BD39" s="64"/>
      <c r="BE39" s="64"/>
      <c r="BF39" s="65"/>
      <c r="CD39" s="75"/>
      <c r="CE39" s="76"/>
      <c r="CF39" s="76"/>
      <c r="CG39" s="76"/>
      <c r="CH39" s="76"/>
      <c r="CI39" s="76"/>
      <c r="CJ39" s="77"/>
    </row>
    <row r="40" spans="2:103" ht="9.9499999999999993" customHeight="1" x14ac:dyDescent="0.25">
      <c r="B40" s="63"/>
      <c r="C40" s="64"/>
      <c r="D40" s="64"/>
      <c r="E40" s="64"/>
      <c r="F40" s="64"/>
      <c r="G40" s="64"/>
      <c r="H40" s="65"/>
      <c r="L40" s="63"/>
      <c r="M40" s="64"/>
      <c r="N40" s="64"/>
      <c r="O40" s="64"/>
      <c r="P40" s="64"/>
      <c r="Q40" s="64"/>
      <c r="R40" s="65"/>
      <c r="V40" s="63"/>
      <c r="W40" s="64"/>
      <c r="X40" s="64"/>
      <c r="Y40" s="64"/>
      <c r="Z40" s="64"/>
      <c r="AA40" s="64"/>
      <c r="AB40" s="65"/>
      <c r="AF40" s="63"/>
      <c r="AG40" s="64"/>
      <c r="AH40" s="64"/>
      <c r="AI40" s="64"/>
      <c r="AJ40" s="64"/>
      <c r="AK40" s="64"/>
      <c r="AL40" s="65"/>
      <c r="AP40" s="63"/>
      <c r="AQ40" s="64"/>
      <c r="AR40" s="64"/>
      <c r="AS40" s="64"/>
      <c r="AT40" s="64"/>
      <c r="AU40" s="64"/>
      <c r="AV40" s="65"/>
      <c r="AZ40" s="63"/>
      <c r="BA40" s="64"/>
      <c r="BB40" s="64"/>
      <c r="BC40" s="64"/>
      <c r="BD40" s="64"/>
      <c r="BE40" s="64"/>
      <c r="BF40" s="65"/>
      <c r="CD40" s="63"/>
      <c r="CE40" s="64"/>
      <c r="CF40" s="64"/>
      <c r="CG40" s="64"/>
      <c r="CH40" s="64"/>
      <c r="CI40" s="64"/>
      <c r="CJ40" s="65"/>
    </row>
    <row r="41" spans="2:103" ht="9.9499999999999993" customHeight="1" x14ac:dyDescent="0.25">
      <c r="B41" s="63"/>
      <c r="C41" s="64"/>
      <c r="D41" s="64"/>
      <c r="E41" s="64"/>
      <c r="F41" s="64"/>
      <c r="G41" s="64"/>
      <c r="H41" s="65"/>
      <c r="L41" s="63"/>
      <c r="M41" s="64"/>
      <c r="N41" s="64"/>
      <c r="O41" s="64"/>
      <c r="P41" s="64"/>
      <c r="Q41" s="64"/>
      <c r="R41" s="65"/>
      <c r="V41" s="63"/>
      <c r="W41" s="64"/>
      <c r="X41" s="64"/>
      <c r="Y41" s="64"/>
      <c r="Z41" s="64"/>
      <c r="AA41" s="64"/>
      <c r="AB41" s="65"/>
      <c r="AF41" s="63"/>
      <c r="AG41" s="64"/>
      <c r="AH41" s="64"/>
      <c r="AI41" s="64"/>
      <c r="AJ41" s="64"/>
      <c r="AK41" s="64"/>
      <c r="AL41" s="65"/>
      <c r="AP41" s="63"/>
      <c r="AQ41" s="64"/>
      <c r="AR41" s="64"/>
      <c r="AS41" s="64"/>
      <c r="AT41" s="64"/>
      <c r="AU41" s="64"/>
      <c r="AV41" s="65"/>
      <c r="AZ41" s="63"/>
      <c r="BA41" s="64"/>
      <c r="BB41" s="64"/>
      <c r="BC41" s="64"/>
      <c r="BD41" s="64"/>
      <c r="BE41" s="64"/>
      <c r="BF41" s="65"/>
      <c r="CD41" s="63"/>
      <c r="CE41" s="64"/>
      <c r="CF41" s="64"/>
      <c r="CG41" s="64"/>
      <c r="CH41" s="64"/>
      <c r="CI41" s="64"/>
      <c r="CJ41" s="65"/>
    </row>
    <row r="42" spans="2:103" ht="9.9499999999999993" customHeight="1" x14ac:dyDescent="0.25">
      <c r="B42" s="63"/>
      <c r="C42" s="64"/>
      <c r="D42" s="64"/>
      <c r="E42" s="64"/>
      <c r="F42" s="64"/>
      <c r="G42" s="64"/>
      <c r="H42" s="65"/>
      <c r="L42" s="63"/>
      <c r="M42" s="64"/>
      <c r="N42" s="64"/>
      <c r="O42" s="64"/>
      <c r="P42" s="64"/>
      <c r="Q42" s="64"/>
      <c r="R42" s="65"/>
      <c r="V42" s="63"/>
      <c r="W42" s="64"/>
      <c r="X42" s="64"/>
      <c r="Y42" s="64"/>
      <c r="Z42" s="64"/>
      <c r="AA42" s="64"/>
      <c r="AB42" s="65"/>
      <c r="AF42" s="63"/>
      <c r="AG42" s="64"/>
      <c r="AH42" s="64"/>
      <c r="AI42" s="64"/>
      <c r="AJ42" s="64"/>
      <c r="AK42" s="64"/>
      <c r="AL42" s="65"/>
      <c r="AP42" s="63"/>
      <c r="AQ42" s="64"/>
      <c r="AR42" s="64"/>
      <c r="AS42" s="64"/>
      <c r="AT42" s="64"/>
      <c r="AU42" s="64"/>
      <c r="AV42" s="65"/>
      <c r="AZ42" s="63"/>
      <c r="BA42" s="64"/>
      <c r="BB42" s="64"/>
      <c r="BC42" s="64"/>
      <c r="BD42" s="64"/>
      <c r="BE42" s="64"/>
      <c r="BF42" s="65"/>
      <c r="CD42" s="63"/>
      <c r="CE42" s="64"/>
      <c r="CF42" s="64"/>
      <c r="CG42" s="64"/>
      <c r="CH42" s="64"/>
      <c r="CI42" s="64"/>
      <c r="CJ42" s="65"/>
    </row>
    <row r="43" spans="2:103" ht="9.9499999999999993" customHeight="1" x14ac:dyDescent="0.25">
      <c r="B43" s="63"/>
      <c r="C43" s="64"/>
      <c r="D43" s="64"/>
      <c r="E43" s="64"/>
      <c r="F43" s="64"/>
      <c r="G43" s="64"/>
      <c r="H43" s="65"/>
      <c r="L43" s="63"/>
      <c r="M43" s="64"/>
      <c r="N43" s="64"/>
      <c r="O43" s="64"/>
      <c r="P43" s="64"/>
      <c r="Q43" s="64"/>
      <c r="R43" s="65"/>
      <c r="V43" s="63" t="s">
        <v>206</v>
      </c>
      <c r="W43" s="64"/>
      <c r="X43" s="64"/>
      <c r="Y43" s="64"/>
      <c r="Z43" s="64"/>
      <c r="AA43" s="64"/>
      <c r="AB43" s="65"/>
      <c r="AF43" s="63" t="s">
        <v>206</v>
      </c>
      <c r="AG43" s="64"/>
      <c r="AH43" s="64"/>
      <c r="AI43" s="64"/>
      <c r="AJ43" s="64"/>
      <c r="AK43" s="64"/>
      <c r="AL43" s="65"/>
      <c r="AP43" s="75" t="s">
        <v>206</v>
      </c>
      <c r="AQ43" s="76"/>
      <c r="AR43" s="76"/>
      <c r="AS43" s="76"/>
      <c r="AT43" s="76"/>
      <c r="AU43" s="76"/>
      <c r="AV43" s="77"/>
      <c r="AZ43" s="63" t="s">
        <v>206</v>
      </c>
      <c r="BA43" s="64"/>
      <c r="BB43" s="64"/>
      <c r="BC43" s="64"/>
      <c r="BD43" s="64"/>
      <c r="BE43" s="64"/>
      <c r="BF43" s="65"/>
      <c r="CD43" s="63"/>
      <c r="CE43" s="64"/>
      <c r="CF43" s="64"/>
      <c r="CG43" s="64"/>
      <c r="CH43" s="64"/>
      <c r="CI43" s="64"/>
      <c r="CJ43" s="65"/>
    </row>
    <row r="44" spans="2:103" ht="9.9499999999999993" customHeight="1" x14ac:dyDescent="0.25">
      <c r="B44" s="66"/>
      <c r="C44" s="67"/>
      <c r="D44" s="67"/>
      <c r="E44" s="67"/>
      <c r="F44" s="67"/>
      <c r="G44" s="67"/>
      <c r="H44" s="68"/>
      <c r="L44" s="66"/>
      <c r="M44" s="67"/>
      <c r="N44" s="67"/>
      <c r="O44" s="67"/>
      <c r="P44" s="67"/>
      <c r="Q44" s="67"/>
      <c r="R44" s="68"/>
      <c r="V44" s="66" t="s">
        <v>191</v>
      </c>
      <c r="W44" s="67"/>
      <c r="X44" s="67"/>
      <c r="Y44" s="67"/>
      <c r="Z44" s="67"/>
      <c r="AA44" s="67"/>
      <c r="AB44" s="68"/>
      <c r="AF44" s="66" t="s">
        <v>191</v>
      </c>
      <c r="AG44" s="67"/>
      <c r="AH44" s="67"/>
      <c r="AI44" s="67"/>
      <c r="AJ44" s="67"/>
      <c r="AK44" s="67"/>
      <c r="AL44" s="68"/>
      <c r="AP44" s="106" t="s">
        <v>191</v>
      </c>
      <c r="AQ44" s="107"/>
      <c r="AR44" s="107"/>
      <c r="AS44" s="107"/>
      <c r="AT44" s="107"/>
      <c r="AU44" s="107"/>
      <c r="AV44" s="108"/>
      <c r="AZ44" s="66" t="s">
        <v>191</v>
      </c>
      <c r="BA44" s="67"/>
      <c r="BB44" s="67"/>
      <c r="BC44" s="67"/>
      <c r="BD44" s="67"/>
      <c r="BE44" s="67"/>
      <c r="BF44" s="68"/>
      <c r="CD44" s="66"/>
      <c r="CE44" s="67"/>
      <c r="CF44" s="67"/>
      <c r="CG44" s="67"/>
      <c r="CH44" s="67"/>
      <c r="CI44" s="67"/>
      <c r="CJ44" s="68"/>
    </row>
    <row r="47" spans="2:103" ht="9.9499999999999993" customHeight="1" x14ac:dyDescent="0.25">
      <c r="B47" s="69" t="s">
        <v>381</v>
      </c>
      <c r="C47" s="70"/>
      <c r="D47" s="70"/>
      <c r="E47" s="70"/>
      <c r="F47" s="70"/>
      <c r="G47" s="70"/>
      <c r="H47" s="71"/>
      <c r="I47"/>
      <c r="J47"/>
      <c r="AP47" s="69" t="s">
        <v>380</v>
      </c>
      <c r="AQ47" s="70"/>
      <c r="AR47" s="70"/>
      <c r="AS47" s="70"/>
      <c r="AT47" s="70"/>
      <c r="AU47" s="70"/>
      <c r="AV47" s="71"/>
    </row>
    <row r="48" spans="2:103" ht="9.9499999999999993" customHeight="1" x14ac:dyDescent="0.25">
      <c r="B48" s="72" t="s">
        <v>60</v>
      </c>
      <c r="C48" s="73"/>
      <c r="D48" s="73"/>
      <c r="E48" s="73"/>
      <c r="F48" s="73"/>
      <c r="G48" s="73"/>
      <c r="H48" s="74"/>
      <c r="I48"/>
      <c r="J48"/>
      <c r="AM48" s="11"/>
      <c r="AN48" s="11"/>
      <c r="AP48" s="72" t="s">
        <v>60</v>
      </c>
      <c r="AQ48" s="73"/>
      <c r="AR48" s="73"/>
      <c r="AS48" s="73"/>
      <c r="AT48" s="73"/>
      <c r="AU48" s="73"/>
      <c r="AV48" s="74"/>
    </row>
    <row r="49" spans="2:68" ht="9.9499999999999993" customHeight="1" x14ac:dyDescent="0.25">
      <c r="B49" s="63" t="s">
        <v>385</v>
      </c>
      <c r="C49" s="64"/>
      <c r="D49" s="64"/>
      <c r="E49" s="64"/>
      <c r="F49" s="64"/>
      <c r="G49" s="64"/>
      <c r="H49" s="65"/>
      <c r="I49"/>
      <c r="J49"/>
      <c r="AP49" s="63" t="s">
        <v>387</v>
      </c>
      <c r="AQ49" s="64"/>
      <c r="AR49" s="64"/>
      <c r="AS49" s="64"/>
      <c r="AT49" s="64"/>
      <c r="AU49" s="64"/>
      <c r="AV49" s="65"/>
    </row>
    <row r="50" spans="2:68" ht="9.9499999999999993" customHeight="1" x14ac:dyDescent="0.25">
      <c r="B50" s="63" t="s">
        <v>386</v>
      </c>
      <c r="C50" s="64"/>
      <c r="D50" s="64"/>
      <c r="E50" s="64"/>
      <c r="F50" s="64"/>
      <c r="G50" s="64"/>
      <c r="H50" s="65"/>
      <c r="I50"/>
      <c r="J50"/>
      <c r="L50" s="69" t="s">
        <v>382</v>
      </c>
      <c r="M50" s="70"/>
      <c r="N50" s="70"/>
      <c r="O50" s="70"/>
      <c r="P50" s="70"/>
      <c r="Q50" s="70"/>
      <c r="R50" s="71"/>
      <c r="V50" s="69" t="s">
        <v>383</v>
      </c>
      <c r="W50" s="70"/>
      <c r="X50" s="70"/>
      <c r="Y50" s="70"/>
      <c r="Z50" s="70"/>
      <c r="AA50" s="70"/>
      <c r="AB50" s="71"/>
      <c r="AF50" s="69" t="s">
        <v>384</v>
      </c>
      <c r="AG50" s="70"/>
      <c r="AH50" s="70"/>
      <c r="AI50" s="70"/>
      <c r="AJ50" s="70"/>
      <c r="AK50" s="70"/>
      <c r="AL50" s="71"/>
      <c r="AP50" s="63" t="s">
        <v>388</v>
      </c>
      <c r="AQ50" s="64"/>
      <c r="AR50" s="64"/>
      <c r="AS50" s="64"/>
      <c r="AT50" s="64"/>
      <c r="AU50" s="64"/>
      <c r="AV50" s="65"/>
      <c r="AZ50" s="69" t="s">
        <v>389</v>
      </c>
      <c r="BA50" s="70"/>
      <c r="BB50" s="70"/>
      <c r="BC50" s="70"/>
      <c r="BD50" s="70"/>
      <c r="BE50" s="70"/>
      <c r="BF50" s="71"/>
      <c r="BJ50" s="69" t="s">
        <v>215</v>
      </c>
      <c r="BK50" s="70"/>
      <c r="BL50" s="70"/>
      <c r="BM50" s="70"/>
      <c r="BN50" s="70"/>
      <c r="BO50" s="70"/>
      <c r="BP50" s="71"/>
    </row>
    <row r="51" spans="2:68" ht="9.9499999999999993" customHeight="1" x14ac:dyDescent="0.25">
      <c r="B51" s="63"/>
      <c r="C51" s="64"/>
      <c r="D51" s="64"/>
      <c r="E51" s="64"/>
      <c r="F51" s="64"/>
      <c r="G51" s="64"/>
      <c r="H51" s="65"/>
      <c r="I51"/>
      <c r="J51"/>
      <c r="L51" s="72" t="s">
        <v>60</v>
      </c>
      <c r="M51" s="73"/>
      <c r="N51" s="73"/>
      <c r="O51" s="73"/>
      <c r="P51" s="73"/>
      <c r="Q51" s="73"/>
      <c r="R51" s="74"/>
      <c r="V51" s="72" t="s">
        <v>60</v>
      </c>
      <c r="W51" s="73"/>
      <c r="X51" s="73"/>
      <c r="Y51" s="73"/>
      <c r="Z51" s="73"/>
      <c r="AA51" s="73"/>
      <c r="AB51" s="74"/>
      <c r="AF51" s="72" t="s">
        <v>60</v>
      </c>
      <c r="AG51" s="73"/>
      <c r="AH51" s="73"/>
      <c r="AI51" s="73"/>
      <c r="AJ51" s="73"/>
      <c r="AK51" s="73"/>
      <c r="AL51" s="74"/>
      <c r="AP51" s="75"/>
      <c r="AQ51" s="76"/>
      <c r="AR51" s="76"/>
      <c r="AS51" s="76"/>
      <c r="AT51" s="76"/>
      <c r="AU51" s="76"/>
      <c r="AV51" s="77"/>
      <c r="AZ51" s="72" t="s">
        <v>60</v>
      </c>
      <c r="BA51" s="73"/>
      <c r="BB51" s="73"/>
      <c r="BC51" s="73"/>
      <c r="BD51" s="73"/>
      <c r="BE51" s="73"/>
      <c r="BF51" s="74"/>
      <c r="BJ51" s="72" t="s">
        <v>60</v>
      </c>
      <c r="BK51" s="73"/>
      <c r="BL51" s="73"/>
      <c r="BM51" s="73"/>
      <c r="BN51" s="73"/>
      <c r="BO51" s="73"/>
      <c r="BP51" s="74"/>
    </row>
    <row r="52" spans="2:68" ht="9.9499999999999993" customHeight="1" x14ac:dyDescent="0.25">
      <c r="B52" s="63"/>
      <c r="C52" s="64"/>
      <c r="D52" s="64"/>
      <c r="E52" s="64"/>
      <c r="F52" s="64"/>
      <c r="G52" s="64"/>
      <c r="H52" s="65"/>
      <c r="I52"/>
      <c r="J52"/>
      <c r="L52" s="63"/>
      <c r="M52" s="64"/>
      <c r="N52" s="64"/>
      <c r="O52" s="64"/>
      <c r="P52" s="64"/>
      <c r="Q52" s="64"/>
      <c r="R52" s="65"/>
      <c r="V52" s="63"/>
      <c r="W52" s="64"/>
      <c r="X52" s="64"/>
      <c r="Y52" s="64"/>
      <c r="Z52" s="64"/>
      <c r="AA52" s="64"/>
      <c r="AB52" s="65"/>
      <c r="AF52" s="63"/>
      <c r="AG52" s="64"/>
      <c r="AH52" s="64"/>
      <c r="AI52" s="64"/>
      <c r="AJ52" s="64"/>
      <c r="AK52" s="64"/>
      <c r="AL52" s="65"/>
      <c r="AP52" s="63"/>
      <c r="AQ52" s="64"/>
      <c r="AR52" s="64"/>
      <c r="AS52" s="64"/>
      <c r="AT52" s="64"/>
      <c r="AU52" s="64"/>
      <c r="AV52" s="65"/>
      <c r="AZ52" s="63"/>
      <c r="BA52" s="64"/>
      <c r="BB52" s="64"/>
      <c r="BC52" s="64"/>
      <c r="BD52" s="64"/>
      <c r="BE52" s="64"/>
      <c r="BF52" s="65"/>
      <c r="BJ52" s="63" t="s">
        <v>192</v>
      </c>
      <c r="BK52" s="64"/>
      <c r="BL52" s="64"/>
      <c r="BM52" s="64"/>
      <c r="BN52" s="64"/>
      <c r="BO52" s="64"/>
      <c r="BP52" s="65"/>
    </row>
    <row r="53" spans="2:68" ht="9.9499999999999993" customHeight="1" x14ac:dyDescent="0.25">
      <c r="B53" s="63"/>
      <c r="C53" s="64"/>
      <c r="D53" s="64"/>
      <c r="E53" s="64"/>
      <c r="F53" s="64"/>
      <c r="G53" s="64"/>
      <c r="H53" s="65"/>
      <c r="I53"/>
      <c r="J53"/>
      <c r="L53" s="63"/>
      <c r="M53" s="64"/>
      <c r="N53" s="64"/>
      <c r="O53" s="64"/>
      <c r="P53" s="64"/>
      <c r="Q53" s="64"/>
      <c r="R53" s="65"/>
      <c r="V53" s="63"/>
      <c r="W53" s="64"/>
      <c r="X53" s="64"/>
      <c r="Y53" s="64"/>
      <c r="Z53" s="64"/>
      <c r="AA53" s="64"/>
      <c r="AB53" s="65"/>
      <c r="AF53" s="63"/>
      <c r="AG53" s="64"/>
      <c r="AH53" s="64"/>
      <c r="AI53" s="64"/>
      <c r="AJ53" s="64"/>
      <c r="AK53" s="64"/>
      <c r="AL53" s="65"/>
      <c r="AP53" s="63"/>
      <c r="AQ53" s="64"/>
      <c r="AR53" s="64"/>
      <c r="AS53" s="64"/>
      <c r="AT53" s="64"/>
      <c r="AU53" s="64"/>
      <c r="AV53" s="65"/>
      <c r="AZ53" s="63"/>
      <c r="BA53" s="64"/>
      <c r="BB53" s="64"/>
      <c r="BC53" s="64"/>
      <c r="BD53" s="64"/>
      <c r="BE53" s="64"/>
      <c r="BF53" s="65"/>
      <c r="BJ53" s="63"/>
      <c r="BK53" s="64"/>
      <c r="BL53" s="64"/>
      <c r="BM53" s="64"/>
      <c r="BN53" s="64"/>
      <c r="BO53" s="64"/>
      <c r="BP53" s="65"/>
    </row>
    <row r="54" spans="2:68" ht="9.9499999999999993" customHeight="1" x14ac:dyDescent="0.25">
      <c r="B54" s="63"/>
      <c r="C54" s="64"/>
      <c r="D54" s="64"/>
      <c r="E54" s="64"/>
      <c r="F54" s="64"/>
      <c r="G54" s="64"/>
      <c r="H54" s="65"/>
      <c r="I54"/>
      <c r="J54"/>
      <c r="L54" s="63"/>
      <c r="M54" s="64"/>
      <c r="N54" s="64"/>
      <c r="O54" s="64"/>
      <c r="P54" s="64"/>
      <c r="Q54" s="64"/>
      <c r="R54" s="65"/>
      <c r="V54" s="63"/>
      <c r="W54" s="64"/>
      <c r="X54" s="64"/>
      <c r="Y54" s="64"/>
      <c r="Z54" s="64"/>
      <c r="AA54" s="64"/>
      <c r="AB54" s="65"/>
      <c r="AF54" s="63"/>
      <c r="AG54" s="64"/>
      <c r="AH54" s="64"/>
      <c r="AI54" s="64"/>
      <c r="AJ54" s="64"/>
      <c r="AK54" s="64"/>
      <c r="AL54" s="65"/>
      <c r="AP54" s="63"/>
      <c r="AQ54" s="64"/>
      <c r="AR54" s="64"/>
      <c r="AS54" s="64"/>
      <c r="AT54" s="64"/>
      <c r="AU54" s="64"/>
      <c r="AV54" s="65"/>
      <c r="AZ54" s="63"/>
      <c r="BA54" s="64"/>
      <c r="BB54" s="64"/>
      <c r="BC54" s="64"/>
      <c r="BD54" s="64"/>
      <c r="BE54" s="64"/>
      <c r="BF54" s="65"/>
      <c r="BJ54" s="63"/>
      <c r="BK54" s="64"/>
      <c r="BL54" s="64"/>
      <c r="BM54" s="64"/>
      <c r="BN54" s="64"/>
      <c r="BO54" s="64"/>
      <c r="BP54" s="65"/>
    </row>
    <row r="55" spans="2:68" ht="9.9499999999999993" customHeight="1" x14ac:dyDescent="0.25">
      <c r="B55" s="63"/>
      <c r="C55" s="64"/>
      <c r="D55" s="64"/>
      <c r="E55" s="64"/>
      <c r="F55" s="64"/>
      <c r="G55" s="64"/>
      <c r="H55" s="65"/>
      <c r="I55"/>
      <c r="J55"/>
      <c r="L55" s="63"/>
      <c r="M55" s="64"/>
      <c r="N55" s="64"/>
      <c r="O55" s="64"/>
      <c r="P55" s="64"/>
      <c r="Q55" s="64"/>
      <c r="R55" s="65"/>
      <c r="V55" s="63"/>
      <c r="W55" s="64"/>
      <c r="X55" s="64"/>
      <c r="Y55" s="64"/>
      <c r="Z55" s="64"/>
      <c r="AA55" s="64"/>
      <c r="AB55" s="65"/>
      <c r="AF55" s="63"/>
      <c r="AG55" s="64"/>
      <c r="AH55" s="64"/>
      <c r="AI55" s="64"/>
      <c r="AJ55" s="64"/>
      <c r="AK55" s="64"/>
      <c r="AL55" s="65"/>
      <c r="AP55" s="63"/>
      <c r="AQ55" s="64"/>
      <c r="AR55" s="64"/>
      <c r="AS55" s="64"/>
      <c r="AT55" s="64"/>
      <c r="AU55" s="64"/>
      <c r="AV55" s="65"/>
      <c r="AZ55" s="63"/>
      <c r="BA55" s="64"/>
      <c r="BB55" s="64"/>
      <c r="BC55" s="64"/>
      <c r="BD55" s="64"/>
      <c r="BE55" s="64"/>
      <c r="BF55" s="65"/>
      <c r="BJ55" s="63"/>
      <c r="BK55" s="64"/>
      <c r="BL55" s="64"/>
      <c r="BM55" s="64"/>
      <c r="BN55" s="64"/>
      <c r="BO55" s="64"/>
      <c r="BP55" s="65"/>
    </row>
    <row r="56" spans="2:68" ht="9.9499999999999993" customHeight="1" x14ac:dyDescent="0.25">
      <c r="B56" s="66" t="s">
        <v>379</v>
      </c>
      <c r="C56" s="67"/>
      <c r="D56" s="67"/>
      <c r="E56" s="67"/>
      <c r="F56" s="67"/>
      <c r="G56" s="67"/>
      <c r="H56" s="68"/>
      <c r="I56"/>
      <c r="J56"/>
      <c r="L56" s="63"/>
      <c r="M56" s="64"/>
      <c r="N56" s="64"/>
      <c r="O56" s="64"/>
      <c r="P56" s="64"/>
      <c r="Q56" s="64"/>
      <c r="R56" s="65"/>
      <c r="V56" s="63"/>
      <c r="W56" s="64"/>
      <c r="X56" s="64"/>
      <c r="Y56" s="64"/>
      <c r="Z56" s="64"/>
      <c r="AA56" s="64"/>
      <c r="AB56" s="65"/>
      <c r="AF56" s="63"/>
      <c r="AG56" s="64"/>
      <c r="AH56" s="64"/>
      <c r="AI56" s="64"/>
      <c r="AJ56" s="64"/>
      <c r="AK56" s="64"/>
      <c r="AL56" s="65"/>
      <c r="AP56" s="66" t="s">
        <v>379</v>
      </c>
      <c r="AQ56" s="67"/>
      <c r="AR56" s="67"/>
      <c r="AS56" s="67"/>
      <c r="AT56" s="67"/>
      <c r="AU56" s="67"/>
      <c r="AV56" s="68"/>
      <c r="AZ56" s="63"/>
      <c r="BA56" s="64"/>
      <c r="BB56" s="64"/>
      <c r="BC56" s="64"/>
      <c r="BD56" s="64"/>
      <c r="BE56" s="64"/>
      <c r="BF56" s="65"/>
      <c r="BJ56" s="63"/>
      <c r="BK56" s="64"/>
      <c r="BL56" s="64"/>
      <c r="BM56" s="64"/>
      <c r="BN56" s="64"/>
      <c r="BO56" s="64"/>
      <c r="BP56" s="65"/>
    </row>
    <row r="57" spans="2:68" ht="9.9499999999999993" customHeight="1" x14ac:dyDescent="0.25">
      <c r="C57"/>
      <c r="D57"/>
      <c r="E57"/>
      <c r="F57"/>
      <c r="G57"/>
      <c r="H57"/>
      <c r="I57"/>
      <c r="J57"/>
      <c r="L57" s="63"/>
      <c r="M57" s="64"/>
      <c r="N57" s="64"/>
      <c r="O57" s="64"/>
      <c r="P57" s="64"/>
      <c r="Q57" s="64"/>
      <c r="R57" s="65"/>
      <c r="V57" s="63"/>
      <c r="W57" s="64"/>
      <c r="X57" s="64"/>
      <c r="Y57" s="64"/>
      <c r="Z57" s="64"/>
      <c r="AA57" s="64"/>
      <c r="AB57" s="65"/>
      <c r="AF57" s="63"/>
      <c r="AG57" s="64"/>
      <c r="AH57" s="64"/>
      <c r="AI57" s="64"/>
      <c r="AJ57" s="64"/>
      <c r="AK57" s="64"/>
      <c r="AL57" s="65"/>
      <c r="AZ57" s="63"/>
      <c r="BA57" s="64"/>
      <c r="BB57" s="64"/>
      <c r="BC57" s="64"/>
      <c r="BD57" s="64"/>
      <c r="BE57" s="64"/>
      <c r="BF57" s="65"/>
      <c r="BJ57" s="63"/>
      <c r="BK57" s="64"/>
      <c r="BL57" s="64"/>
      <c r="BM57" s="64"/>
      <c r="BN57" s="64"/>
      <c r="BO57" s="64"/>
      <c r="BP57" s="65"/>
    </row>
    <row r="58" spans="2:68" ht="9.9499999999999993" customHeight="1" x14ac:dyDescent="0.25">
      <c r="C58"/>
      <c r="D58"/>
      <c r="E58"/>
      <c r="F58"/>
      <c r="G58"/>
      <c r="H58"/>
      <c r="I58"/>
      <c r="J58"/>
      <c r="L58" s="63"/>
      <c r="M58" s="64"/>
      <c r="N58" s="64"/>
      <c r="O58" s="64"/>
      <c r="P58" s="64"/>
      <c r="Q58" s="64"/>
      <c r="R58" s="65"/>
      <c r="V58" s="63"/>
      <c r="W58" s="64"/>
      <c r="X58" s="64"/>
      <c r="Y58" s="64"/>
      <c r="Z58" s="64"/>
      <c r="AA58" s="64"/>
      <c r="AB58" s="65"/>
      <c r="AF58" s="63"/>
      <c r="AG58" s="64"/>
      <c r="AH58" s="64"/>
      <c r="AI58" s="64"/>
      <c r="AJ58" s="64"/>
      <c r="AK58" s="64"/>
      <c r="AL58" s="65"/>
      <c r="AZ58" s="63"/>
      <c r="BA58" s="64"/>
      <c r="BB58" s="64"/>
      <c r="BC58" s="64"/>
      <c r="BD58" s="64"/>
      <c r="BE58" s="64"/>
      <c r="BF58" s="65"/>
      <c r="BJ58" s="63"/>
      <c r="BK58" s="64"/>
      <c r="BL58" s="64"/>
      <c r="BM58" s="64"/>
      <c r="BN58" s="64"/>
      <c r="BO58" s="64"/>
      <c r="BP58" s="65"/>
    </row>
    <row r="59" spans="2:68" ht="9.9499999999999993" customHeight="1" x14ac:dyDescent="0.25">
      <c r="C59"/>
      <c r="D59"/>
      <c r="E59"/>
      <c r="F59"/>
      <c r="G59"/>
      <c r="H59"/>
      <c r="I59"/>
      <c r="J59"/>
      <c r="L59" s="66"/>
      <c r="M59" s="67"/>
      <c r="N59" s="67"/>
      <c r="O59" s="67"/>
      <c r="P59" s="67"/>
      <c r="Q59" s="67"/>
      <c r="R59" s="68"/>
      <c r="V59" s="66"/>
      <c r="W59" s="67"/>
      <c r="X59" s="67"/>
      <c r="Y59" s="67"/>
      <c r="Z59" s="67"/>
      <c r="AA59" s="67"/>
      <c r="AB59" s="68"/>
      <c r="AF59" s="66"/>
      <c r="AG59" s="67"/>
      <c r="AH59" s="67"/>
      <c r="AI59" s="67"/>
      <c r="AJ59" s="67"/>
      <c r="AK59" s="67"/>
      <c r="AL59" s="68"/>
      <c r="AZ59" s="66"/>
      <c r="BA59" s="67"/>
      <c r="BB59" s="67"/>
      <c r="BC59" s="67"/>
      <c r="BD59" s="67"/>
      <c r="BE59" s="67"/>
      <c r="BF59" s="68"/>
      <c r="BJ59" s="66"/>
      <c r="BK59" s="67"/>
      <c r="BL59" s="67"/>
      <c r="BM59" s="67"/>
      <c r="BN59" s="67"/>
      <c r="BO59" s="67"/>
      <c r="BP59" s="68"/>
    </row>
  </sheetData>
  <mergeCells count="398">
    <mergeCell ref="CX29:DD29"/>
    <mergeCell ref="CX30:DD30"/>
    <mergeCell ref="CX31:DD31"/>
    <mergeCell ref="CX20:DD20"/>
    <mergeCell ref="CX21:DD21"/>
    <mergeCell ref="CX22:DD22"/>
    <mergeCell ref="CX23:DD23"/>
    <mergeCell ref="CX24:DD24"/>
    <mergeCell ref="CX25:DD25"/>
    <mergeCell ref="CX26:DD26"/>
    <mergeCell ref="CX27:DD27"/>
    <mergeCell ref="CX28:DD28"/>
    <mergeCell ref="B30:H30"/>
    <mergeCell ref="B31:H31"/>
    <mergeCell ref="CN20:CT20"/>
    <mergeCell ref="CN21:CT21"/>
    <mergeCell ref="CN22:CT22"/>
    <mergeCell ref="CN23:CT23"/>
    <mergeCell ref="CN24:CT24"/>
    <mergeCell ref="CN25:CT25"/>
    <mergeCell ref="CN26:CT26"/>
    <mergeCell ref="CN27:CT27"/>
    <mergeCell ref="CN28:CT28"/>
    <mergeCell ref="CN29:CT29"/>
    <mergeCell ref="CN30:CT30"/>
    <mergeCell ref="CN31:CT31"/>
    <mergeCell ref="B21:H21"/>
    <mergeCell ref="B22:H22"/>
    <mergeCell ref="B23:H23"/>
    <mergeCell ref="B24:H24"/>
    <mergeCell ref="B25:H25"/>
    <mergeCell ref="B26:H26"/>
    <mergeCell ref="B27:H27"/>
    <mergeCell ref="B28:H28"/>
    <mergeCell ref="B29:H29"/>
    <mergeCell ref="CD29:CJ29"/>
    <mergeCell ref="AF24:AL24"/>
    <mergeCell ref="L24:R24"/>
    <mergeCell ref="V14:AB14"/>
    <mergeCell ref="AF14:AL14"/>
    <mergeCell ref="AP14:AV14"/>
    <mergeCell ref="AZ14:BF14"/>
    <mergeCell ref="BJ14:BP14"/>
    <mergeCell ref="CD11:CJ11"/>
    <mergeCell ref="CD12:CJ12"/>
    <mergeCell ref="CD14:CJ14"/>
    <mergeCell ref="BT11:BZ11"/>
    <mergeCell ref="BT14:BZ14"/>
    <mergeCell ref="CD15:CJ15"/>
    <mergeCell ref="BJ28:BP28"/>
    <mergeCell ref="BJ9:BP9"/>
    <mergeCell ref="BJ10:BP10"/>
    <mergeCell ref="BT9:BZ9"/>
    <mergeCell ref="BT10:BZ10"/>
    <mergeCell ref="BT28:BZ28"/>
    <mergeCell ref="AP25:AV25"/>
    <mergeCell ref="AF25:AL25"/>
    <mergeCell ref="V25:AB25"/>
    <mergeCell ref="V24:AB24"/>
    <mergeCell ref="V27:AB27"/>
    <mergeCell ref="AF27:AL27"/>
    <mergeCell ref="AP27:AV27"/>
    <mergeCell ref="AZ27:BF27"/>
    <mergeCell ref="BT24:BZ24"/>
    <mergeCell ref="BT25:BZ25"/>
    <mergeCell ref="BT26:BZ26"/>
    <mergeCell ref="BT27:BZ27"/>
    <mergeCell ref="AZ24:BF24"/>
    <mergeCell ref="AZ25:BF25"/>
    <mergeCell ref="AZ26:BF26"/>
    <mergeCell ref="AP24:AV24"/>
    <mergeCell ref="V9:AB9"/>
    <mergeCell ref="V10:AB10"/>
    <mergeCell ref="AF9:AL9"/>
    <mergeCell ref="AF10:AL10"/>
    <mergeCell ref="AP9:AV9"/>
    <mergeCell ref="AP10:AV10"/>
    <mergeCell ref="AZ9:BF9"/>
    <mergeCell ref="AZ10:BF10"/>
    <mergeCell ref="BJ5:BP5"/>
    <mergeCell ref="BJ6:BP6"/>
    <mergeCell ref="BJ7:BP7"/>
    <mergeCell ref="BJ8:BP8"/>
    <mergeCell ref="B2:H2"/>
    <mergeCell ref="B3:H3"/>
    <mergeCell ref="B4:H4"/>
    <mergeCell ref="B5:H5"/>
    <mergeCell ref="B6:H6"/>
    <mergeCell ref="B16:H16"/>
    <mergeCell ref="B7:H7"/>
    <mergeCell ref="B13:H13"/>
    <mergeCell ref="B14:H14"/>
    <mergeCell ref="B15:H15"/>
    <mergeCell ref="L6:R6"/>
    <mergeCell ref="L7:R7"/>
    <mergeCell ref="L8:R8"/>
    <mergeCell ref="L9:R9"/>
    <mergeCell ref="L10:R10"/>
    <mergeCell ref="BT7:BZ7"/>
    <mergeCell ref="BT8:BZ8"/>
    <mergeCell ref="BT16:BZ16"/>
    <mergeCell ref="BT15:BZ15"/>
    <mergeCell ref="L39:R39"/>
    <mergeCell ref="L40:R40"/>
    <mergeCell ref="L41:R41"/>
    <mergeCell ref="L42:R42"/>
    <mergeCell ref="L22:R22"/>
    <mergeCell ref="L23:R23"/>
    <mergeCell ref="L31:R31"/>
    <mergeCell ref="L25:R25"/>
    <mergeCell ref="L26:R26"/>
    <mergeCell ref="L28:R28"/>
    <mergeCell ref="L20:R20"/>
    <mergeCell ref="L21:R21"/>
    <mergeCell ref="BJ20:BP20"/>
    <mergeCell ref="BJ21:BP21"/>
    <mergeCell ref="BJ22:BP22"/>
    <mergeCell ref="BJ23:BP23"/>
    <mergeCell ref="BJ16:BP16"/>
    <mergeCell ref="BJ15:BP15"/>
    <mergeCell ref="BJ11:BP11"/>
    <mergeCell ref="BJ12:BP12"/>
    <mergeCell ref="BJ50:BP50"/>
    <mergeCell ref="BJ51:BP51"/>
    <mergeCell ref="BT31:BZ31"/>
    <mergeCell ref="AP44:AV44"/>
    <mergeCell ref="B12:H12"/>
    <mergeCell ref="BT12:BZ12"/>
    <mergeCell ref="BT13:BZ13"/>
    <mergeCell ref="AP29:AV29"/>
    <mergeCell ref="AF29:AL29"/>
    <mergeCell ref="V29:AB29"/>
    <mergeCell ref="L29:R29"/>
    <mergeCell ref="L27:R27"/>
    <mergeCell ref="V39:AB39"/>
    <mergeCell ref="V40:AB40"/>
    <mergeCell ref="AF40:AL40"/>
    <mergeCell ref="AF41:AL41"/>
    <mergeCell ref="AP39:AV39"/>
    <mergeCell ref="AP40:AV40"/>
    <mergeCell ref="AZ40:BF40"/>
    <mergeCell ref="BJ29:BP29"/>
    <mergeCell ref="B20:H20"/>
    <mergeCell ref="AP12:AV12"/>
    <mergeCell ref="B50:H50"/>
    <mergeCell ref="B51:H51"/>
    <mergeCell ref="B52:H52"/>
    <mergeCell ref="AP43:AV43"/>
    <mergeCell ref="AP41:AV41"/>
    <mergeCell ref="AP42:AV42"/>
    <mergeCell ref="AP35:AV35"/>
    <mergeCell ref="AP36:AV36"/>
    <mergeCell ref="AP37:AV37"/>
    <mergeCell ref="AP38:AV38"/>
    <mergeCell ref="AP22:AV22"/>
    <mergeCell ref="AP23:AV23"/>
    <mergeCell ref="AP31:AV31"/>
    <mergeCell ref="AF44:AL44"/>
    <mergeCell ref="AP13:AV13"/>
    <mergeCell ref="AP20:AV20"/>
    <mergeCell ref="AP21:AV21"/>
    <mergeCell ref="BJ58:BP58"/>
    <mergeCell ref="BJ59:BP59"/>
    <mergeCell ref="B8:H8"/>
    <mergeCell ref="B9:H9"/>
    <mergeCell ref="B10:H10"/>
    <mergeCell ref="B11:H11"/>
    <mergeCell ref="BT5:BZ5"/>
    <mergeCell ref="BT6:BZ6"/>
    <mergeCell ref="L15:R15"/>
    <mergeCell ref="L16:R16"/>
    <mergeCell ref="AP5:AV5"/>
    <mergeCell ref="AP6:AV6"/>
    <mergeCell ref="AP7:AV7"/>
    <mergeCell ref="AP8:AV8"/>
    <mergeCell ref="V11:AB11"/>
    <mergeCell ref="V12:AB12"/>
    <mergeCell ref="AF5:AL5"/>
    <mergeCell ref="AF6:AL6"/>
    <mergeCell ref="AF7:AL7"/>
    <mergeCell ref="AF8:AL8"/>
    <mergeCell ref="AF16:AL16"/>
    <mergeCell ref="AF15:AL15"/>
    <mergeCell ref="AF11:AL11"/>
    <mergeCell ref="AF12:AL12"/>
    <mergeCell ref="AP16:AV16"/>
    <mergeCell ref="V5:AB5"/>
    <mergeCell ref="V6:AB6"/>
    <mergeCell ref="V7:AB7"/>
    <mergeCell ref="V8:AB8"/>
    <mergeCell ref="V16:AB16"/>
    <mergeCell ref="V15:AB15"/>
    <mergeCell ref="BJ13:BP13"/>
    <mergeCell ref="AZ5:BF5"/>
    <mergeCell ref="AZ6:BF6"/>
    <mergeCell ref="AZ7:BF7"/>
    <mergeCell ref="AZ8:BF8"/>
    <mergeCell ref="AZ16:BF16"/>
    <mergeCell ref="AZ15:BF15"/>
    <mergeCell ref="AZ11:BF11"/>
    <mergeCell ref="AZ12:BF12"/>
    <mergeCell ref="AZ13:BF13"/>
    <mergeCell ref="V13:AB13"/>
    <mergeCell ref="AF13:AL13"/>
    <mergeCell ref="AP15:AV15"/>
    <mergeCell ref="AP11:AV11"/>
    <mergeCell ref="AZ31:BF31"/>
    <mergeCell ref="AZ28:BF28"/>
    <mergeCell ref="BJ24:BP24"/>
    <mergeCell ref="BJ25:BP25"/>
    <mergeCell ref="BJ26:BP26"/>
    <mergeCell ref="BJ27:BP27"/>
    <mergeCell ref="BJ30:BP30"/>
    <mergeCell ref="BJ31:BP31"/>
    <mergeCell ref="BT20:BZ20"/>
    <mergeCell ref="BT21:BZ21"/>
    <mergeCell ref="BT22:BZ22"/>
    <mergeCell ref="BT23:BZ23"/>
    <mergeCell ref="BT29:BZ29"/>
    <mergeCell ref="BT30:BZ30"/>
    <mergeCell ref="AZ20:BF20"/>
    <mergeCell ref="AZ21:BF21"/>
    <mergeCell ref="AF26:AL26"/>
    <mergeCell ref="AF28:AL28"/>
    <mergeCell ref="AF30:AL30"/>
    <mergeCell ref="AF20:AL20"/>
    <mergeCell ref="AF21:AL21"/>
    <mergeCell ref="AF22:AL22"/>
    <mergeCell ref="AF23:AL23"/>
    <mergeCell ref="AF31:AL31"/>
    <mergeCell ref="V44:AB44"/>
    <mergeCell ref="AZ22:BF22"/>
    <mergeCell ref="AZ23:BF23"/>
    <mergeCell ref="AZ29:BF29"/>
    <mergeCell ref="AZ30:BF30"/>
    <mergeCell ref="L30:R30"/>
    <mergeCell ref="AZ35:BF35"/>
    <mergeCell ref="AZ36:BF36"/>
    <mergeCell ref="AZ37:BF37"/>
    <mergeCell ref="AZ38:BF38"/>
    <mergeCell ref="AZ43:BF43"/>
    <mergeCell ref="AZ41:BF41"/>
    <mergeCell ref="AZ42:BF42"/>
    <mergeCell ref="BJ52:BP52"/>
    <mergeCell ref="BJ53:BP53"/>
    <mergeCell ref="BJ54:BP54"/>
    <mergeCell ref="BJ55:BP55"/>
    <mergeCell ref="BJ56:BP56"/>
    <mergeCell ref="BJ57:BP57"/>
    <mergeCell ref="V37:AB37"/>
    <mergeCell ref="V38:AB38"/>
    <mergeCell ref="V43:AB43"/>
    <mergeCell ref="V41:AB41"/>
    <mergeCell ref="V42:AB42"/>
    <mergeCell ref="V31:AB31"/>
    <mergeCell ref="AZ44:BF44"/>
    <mergeCell ref="V26:AB26"/>
    <mergeCell ref="V28:AB28"/>
    <mergeCell ref="AF35:AL35"/>
    <mergeCell ref="AF36:AL36"/>
    <mergeCell ref="AF37:AL37"/>
    <mergeCell ref="AF38:AL38"/>
    <mergeCell ref="AF39:AL39"/>
    <mergeCell ref="AF43:AL43"/>
    <mergeCell ref="AZ39:BF39"/>
    <mergeCell ref="AF42:AL42"/>
    <mergeCell ref="AP26:AV26"/>
    <mergeCell ref="AP28:AV28"/>
    <mergeCell ref="AP30:AV30"/>
    <mergeCell ref="V35:AB35"/>
    <mergeCell ref="V36:AB36"/>
    <mergeCell ref="B43:H43"/>
    <mergeCell ref="B44:H44"/>
    <mergeCell ref="L2:R2"/>
    <mergeCell ref="L3:R3"/>
    <mergeCell ref="L4:R4"/>
    <mergeCell ref="L5:R5"/>
    <mergeCell ref="L11:R11"/>
    <mergeCell ref="L12:R12"/>
    <mergeCell ref="L13:R13"/>
    <mergeCell ref="L14:R14"/>
    <mergeCell ref="L43:R43"/>
    <mergeCell ref="L44:R44"/>
    <mergeCell ref="B35:H35"/>
    <mergeCell ref="B36:H36"/>
    <mergeCell ref="B37:H37"/>
    <mergeCell ref="B38:H38"/>
    <mergeCell ref="B39:H39"/>
    <mergeCell ref="B40:H40"/>
    <mergeCell ref="B41:H41"/>
    <mergeCell ref="B42:H42"/>
    <mergeCell ref="L35:R35"/>
    <mergeCell ref="L36:R36"/>
    <mergeCell ref="L37:R37"/>
    <mergeCell ref="L38:R38"/>
    <mergeCell ref="AP52:AV52"/>
    <mergeCell ref="AP53:AV53"/>
    <mergeCell ref="AP54:AV54"/>
    <mergeCell ref="AP55:AV55"/>
    <mergeCell ref="AP56:AV56"/>
    <mergeCell ref="B47:H47"/>
    <mergeCell ref="AP47:AV47"/>
    <mergeCell ref="AP48:AV48"/>
    <mergeCell ref="AP49:AV49"/>
    <mergeCell ref="B48:H48"/>
    <mergeCell ref="B49:H49"/>
    <mergeCell ref="AP50:AV50"/>
    <mergeCell ref="AP51:AV51"/>
    <mergeCell ref="V56:AB56"/>
    <mergeCell ref="B53:H53"/>
    <mergeCell ref="B54:H54"/>
    <mergeCell ref="B55:H55"/>
    <mergeCell ref="B56:H56"/>
    <mergeCell ref="L50:R50"/>
    <mergeCell ref="L51:R51"/>
    <mergeCell ref="L52:R52"/>
    <mergeCell ref="L53:R53"/>
    <mergeCell ref="L54:R54"/>
    <mergeCell ref="L55:R55"/>
    <mergeCell ref="L56:R56"/>
    <mergeCell ref="L57:R57"/>
    <mergeCell ref="L58:R58"/>
    <mergeCell ref="L59:R59"/>
    <mergeCell ref="V50:AB50"/>
    <mergeCell ref="V51:AB51"/>
    <mergeCell ref="V52:AB52"/>
    <mergeCell ref="V53:AB53"/>
    <mergeCell ref="V54:AB54"/>
    <mergeCell ref="V55:AB55"/>
    <mergeCell ref="V57:AB57"/>
    <mergeCell ref="AF58:AL58"/>
    <mergeCell ref="AF59:AL59"/>
    <mergeCell ref="V58:AB58"/>
    <mergeCell ref="V59:AB59"/>
    <mergeCell ref="AF50:AL50"/>
    <mergeCell ref="AF51:AL51"/>
    <mergeCell ref="AF52:AL52"/>
    <mergeCell ref="AF53:AL53"/>
    <mergeCell ref="AF54:AL54"/>
    <mergeCell ref="AF55:AL55"/>
    <mergeCell ref="AF56:AL56"/>
    <mergeCell ref="AF57:AL57"/>
    <mergeCell ref="AZ56:BF56"/>
    <mergeCell ref="AZ57:BF57"/>
    <mergeCell ref="AZ58:BF58"/>
    <mergeCell ref="AZ59:BF59"/>
    <mergeCell ref="CD5:CJ5"/>
    <mergeCell ref="CD6:CJ6"/>
    <mergeCell ref="CD7:CJ7"/>
    <mergeCell ref="CD8:CJ8"/>
    <mergeCell ref="CD9:CJ9"/>
    <mergeCell ref="CD10:CJ10"/>
    <mergeCell ref="AZ50:BF50"/>
    <mergeCell ref="AZ51:BF51"/>
    <mergeCell ref="AZ52:BF52"/>
    <mergeCell ref="AZ53:BF53"/>
    <mergeCell ref="AZ54:BF54"/>
    <mergeCell ref="AZ55:BF55"/>
    <mergeCell ref="V30:AB30"/>
    <mergeCell ref="V20:AB20"/>
    <mergeCell ref="V21:AB21"/>
    <mergeCell ref="V22:AB22"/>
    <mergeCell ref="V23:AB23"/>
    <mergeCell ref="CD22:CJ22"/>
    <mergeCell ref="CD23:CJ23"/>
    <mergeCell ref="CD24:CJ24"/>
    <mergeCell ref="CD25:CJ25"/>
    <mergeCell ref="CD26:CJ26"/>
    <mergeCell ref="CD28:CJ28"/>
    <mergeCell ref="CD16:CJ16"/>
    <mergeCell ref="CD13:CJ13"/>
    <mergeCell ref="CD20:CJ20"/>
    <mergeCell ref="CD21:CJ21"/>
    <mergeCell ref="CD27:CJ27"/>
    <mergeCell ref="CD39:CJ39"/>
    <mergeCell ref="CD40:CJ40"/>
    <mergeCell ref="CD41:CJ41"/>
    <mergeCell ref="CD42:CJ42"/>
    <mergeCell ref="CD43:CJ43"/>
    <mergeCell ref="CD44:CJ44"/>
    <mergeCell ref="CD30:CJ30"/>
    <mergeCell ref="CD31:CJ31"/>
    <mergeCell ref="CD35:CJ35"/>
    <mergeCell ref="CD36:CJ36"/>
    <mergeCell ref="CD37:CJ37"/>
    <mergeCell ref="CD38:CJ38"/>
    <mergeCell ref="CN11:CT11"/>
    <mergeCell ref="CN12:CT12"/>
    <mergeCell ref="CN13:CT13"/>
    <mergeCell ref="CN16:CT16"/>
    <mergeCell ref="CN5:CT5"/>
    <mergeCell ref="CN6:CT6"/>
    <mergeCell ref="CN7:CT7"/>
    <mergeCell ref="CN8:CT8"/>
    <mergeCell ref="CN9:CT9"/>
    <mergeCell ref="CN10:CT10"/>
    <mergeCell ref="CN14:CT14"/>
    <mergeCell ref="CN15:CT15"/>
  </mergeCells>
  <conditionalFormatting sqref="S18:XFD18 T19:XFD19 AM9:AN10 CA9:XFD10 T28:U29 T30:AB30 AC28:AE31 T26:AE27 A32:XFD34 A61:XFD1004 CA35:XFD60 A45:BS60 BQ35:BS44 S31:AB31 T20:U25 V26:AB31 A35:BI38 A39:U40 AC40:AE40 A41:AE41 AC39:AO39 AM41:BI41 AM40:AO40 AW39:AY40 BG39:BI40 A42:BI44 L20:R23 L25:R31 AC24:AE25 AM24:AO25 AW24:AY25 AF26:AY31 V20:BZ23 BG24:BS26 AC11:AD12 CK11:XFD12 BQ13:BS14 BG13:BI14 AW13:AY14 AM13:AO14 AC13:AE14 CD11:CJ14 CA13:XFD14 CK15:XFD15 AZ29:BZ31 AZ28:BI28 BQ28:BU28 AZ27:BS27 S6:XFD8 S9:AD10 S11:T12 J18:K18 J17:XFD17 S13:U14 S16:XFD16 L11:R16 B6:K6 B16:J16 A1:XFD3 I7:K10 I11:J15 B4:J5 L4:XFD5 A7:A31 CA20:CW30 CA31:CC31 CK31:CM31 S15:CC15 DE20:XFD31 CU31:CW31">
    <cfRule type="containsText" dxfId="279" priority="160" operator="containsText" text="_instance">
      <formula>NOT(ISERROR(SEARCH("_instance",A1)))</formula>
    </cfRule>
    <cfRule type="endsWith" dxfId="278" priority="164" operator="endsWith" text="_instance">
      <formula>RIGHT(A1,LEN("_instance"))="_instance"</formula>
    </cfRule>
    <cfRule type="endsWith" dxfId="277" priority="165" operator="endsWith" text="_">
      <formula>RIGHT(A1,LEN("_"))="_"</formula>
    </cfRule>
  </conditionalFormatting>
  <conditionalFormatting sqref="AE9:AE10">
    <cfRule type="containsText" dxfId="276" priority="157" operator="containsText" text="_instance">
      <formula>NOT(ISERROR(SEARCH("_instance",AE9)))</formula>
    </cfRule>
    <cfRule type="endsWith" dxfId="275" priority="158" operator="endsWith" text="_instance">
      <formula>RIGHT(AE9,LEN("_instance"))="_instance"</formula>
    </cfRule>
    <cfRule type="endsWith" dxfId="274" priority="159" operator="endsWith" text="_">
      <formula>RIGHT(AE9,LEN("_"))="_"</formula>
    </cfRule>
  </conditionalFormatting>
  <conditionalFormatting sqref="BT9:BZ10">
    <cfRule type="containsText" dxfId="273" priority="127" operator="containsText" text="_instance">
      <formula>NOT(ISERROR(SEARCH("_instance",BT9)))</formula>
    </cfRule>
    <cfRule type="endsWith" dxfId="272" priority="128" operator="endsWith" text="_instance">
      <formula>RIGHT(BT9,LEN("_instance"))="_instance"</formula>
    </cfRule>
    <cfRule type="endsWith" dxfId="271" priority="129" operator="endsWith" text="_">
      <formula>RIGHT(BT9,LEN("_"))="_"</formula>
    </cfRule>
  </conditionalFormatting>
  <conditionalFormatting sqref="AO9:AO10">
    <cfRule type="containsText" dxfId="270" priority="154" operator="containsText" text="_instance">
      <formula>NOT(ISERROR(SEARCH("_instance",AO9)))</formula>
    </cfRule>
    <cfRule type="endsWith" dxfId="269" priority="155" operator="endsWith" text="_instance">
      <formula>RIGHT(AO9,LEN("_instance"))="_instance"</formula>
    </cfRule>
    <cfRule type="endsWith" dxfId="268" priority="156" operator="endsWith" text="_">
      <formula>RIGHT(AO9,LEN("_"))="_"</formula>
    </cfRule>
  </conditionalFormatting>
  <conditionalFormatting sqref="AY9:AY10">
    <cfRule type="containsText" dxfId="267" priority="151" operator="containsText" text="_instance">
      <formula>NOT(ISERROR(SEARCH("_instance",AY9)))</formula>
    </cfRule>
    <cfRule type="endsWith" dxfId="266" priority="152" operator="endsWith" text="_instance">
      <formula>RIGHT(AY9,LEN("_instance"))="_instance"</formula>
    </cfRule>
    <cfRule type="endsWith" dxfId="265" priority="153" operator="endsWith" text="_">
      <formula>RIGHT(AY9,LEN("_"))="_"</formula>
    </cfRule>
  </conditionalFormatting>
  <conditionalFormatting sqref="BI9:BI10">
    <cfRule type="containsText" dxfId="264" priority="148" operator="containsText" text="_instance">
      <formula>NOT(ISERROR(SEARCH("_instance",BI9)))</formula>
    </cfRule>
    <cfRule type="endsWith" dxfId="263" priority="149" operator="endsWith" text="_instance">
      <formula>RIGHT(BI9,LEN("_instance"))="_instance"</formula>
    </cfRule>
    <cfRule type="endsWith" dxfId="262" priority="150" operator="endsWith" text="_">
      <formula>RIGHT(BI9,LEN("_"))="_"</formula>
    </cfRule>
  </conditionalFormatting>
  <conditionalFormatting sqref="BS9:BS10">
    <cfRule type="containsText" dxfId="261" priority="145" operator="containsText" text="_instance">
      <formula>NOT(ISERROR(SEARCH("_instance",BS9)))</formula>
    </cfRule>
    <cfRule type="endsWith" dxfId="260" priority="146" operator="endsWith" text="_instance">
      <formula>RIGHT(BS9,LEN("_instance"))="_instance"</formula>
    </cfRule>
    <cfRule type="endsWith" dxfId="259" priority="147" operator="endsWith" text="_">
      <formula>RIGHT(BS9,LEN("_"))="_"</formula>
    </cfRule>
  </conditionalFormatting>
  <conditionalFormatting sqref="AF9:AL10">
    <cfRule type="containsText" dxfId="258" priority="139" operator="containsText" text="_instance">
      <formula>NOT(ISERROR(SEARCH("_instance",AF9)))</formula>
    </cfRule>
    <cfRule type="endsWith" dxfId="257" priority="140" operator="endsWith" text="_instance">
      <formula>RIGHT(AF9,LEN("_instance"))="_instance"</formula>
    </cfRule>
    <cfRule type="endsWith" dxfId="256" priority="141" operator="endsWith" text="_">
      <formula>RIGHT(AF9,LEN("_"))="_"</formula>
    </cfRule>
  </conditionalFormatting>
  <conditionalFormatting sqref="AP9:AV10">
    <cfRule type="containsText" dxfId="255" priority="136" operator="containsText" text="_instance">
      <formula>NOT(ISERROR(SEARCH("_instance",AP9)))</formula>
    </cfRule>
    <cfRule type="endsWith" dxfId="254" priority="137" operator="endsWith" text="_instance">
      <formula>RIGHT(AP9,LEN("_instance"))="_instance"</formula>
    </cfRule>
    <cfRule type="endsWith" dxfId="253" priority="138" operator="endsWith" text="_">
      <formula>RIGHT(AP9,LEN("_"))="_"</formula>
    </cfRule>
  </conditionalFormatting>
  <conditionalFormatting sqref="AZ9:BF10">
    <cfRule type="containsText" dxfId="252" priority="133" operator="containsText" text="_instance">
      <formula>NOT(ISERROR(SEARCH("_instance",AZ9)))</formula>
    </cfRule>
    <cfRule type="endsWith" dxfId="251" priority="134" operator="endsWith" text="_instance">
      <formula>RIGHT(AZ9,LEN("_instance"))="_instance"</formula>
    </cfRule>
    <cfRule type="endsWith" dxfId="250" priority="135" operator="endsWith" text="_">
      <formula>RIGHT(AZ9,LEN("_"))="_"</formula>
    </cfRule>
  </conditionalFormatting>
  <conditionalFormatting sqref="BJ9:BP10">
    <cfRule type="containsText" dxfId="249" priority="130" operator="containsText" text="_instance">
      <formula>NOT(ISERROR(SEARCH("_instance",BJ9)))</formula>
    </cfRule>
    <cfRule type="endsWith" dxfId="248" priority="131" operator="endsWith" text="_instance">
      <formula>RIGHT(BJ9,LEN("_instance"))="_instance"</formula>
    </cfRule>
    <cfRule type="endsWith" dxfId="247" priority="132" operator="endsWith" text="_">
      <formula>RIGHT(BJ9,LEN("_"))="_"</formula>
    </cfRule>
  </conditionalFormatting>
  <conditionalFormatting sqref="BT28:BZ28">
    <cfRule type="containsText" dxfId="246" priority="124" operator="containsText" text="_instance">
      <formula>NOT(ISERROR(SEARCH("_instance",BT28)))</formula>
    </cfRule>
    <cfRule type="endsWith" dxfId="245" priority="125" operator="endsWith" text="_instance">
      <formula>RIGHT(BT28,LEN("_instance"))="_instance"</formula>
    </cfRule>
    <cfRule type="endsWith" dxfId="244" priority="126" operator="endsWith" text="_">
      <formula>RIGHT(BT28,LEN("_"))="_"</formula>
    </cfRule>
  </conditionalFormatting>
  <conditionalFormatting sqref="AP25:AV25">
    <cfRule type="containsText" dxfId="243" priority="121" operator="containsText" text="_instance">
      <formula>NOT(ISERROR(SEARCH("_instance",AP25)))</formula>
    </cfRule>
    <cfRule type="endsWith" dxfId="242" priority="122" operator="endsWith" text="_instance">
      <formula>RIGHT(AP25,LEN("_instance"))="_instance"</formula>
    </cfRule>
    <cfRule type="endsWith" dxfId="241" priority="123" operator="endsWith" text="_">
      <formula>RIGHT(AP25,LEN("_"))="_"</formula>
    </cfRule>
  </conditionalFormatting>
  <conditionalFormatting sqref="AF25:AL25">
    <cfRule type="containsText" dxfId="240" priority="118" operator="containsText" text="_instance">
      <formula>NOT(ISERROR(SEARCH("_instance",AF25)))</formula>
    </cfRule>
    <cfRule type="endsWith" dxfId="239" priority="119" operator="endsWith" text="_instance">
      <formula>RIGHT(AF25,LEN("_instance"))="_instance"</formula>
    </cfRule>
    <cfRule type="endsWith" dxfId="238" priority="120" operator="endsWith" text="_">
      <formula>RIGHT(AF25,LEN("_"))="_"</formula>
    </cfRule>
  </conditionalFormatting>
  <conditionalFormatting sqref="V25:AB25">
    <cfRule type="containsText" dxfId="237" priority="115" operator="containsText" text="_instance">
      <formula>NOT(ISERROR(SEARCH("_instance",V25)))</formula>
    </cfRule>
    <cfRule type="endsWith" dxfId="236" priority="116" operator="endsWith" text="_instance">
      <formula>RIGHT(V25,LEN("_instance"))="_instance"</formula>
    </cfRule>
    <cfRule type="endsWith" dxfId="235" priority="117" operator="endsWith" text="_">
      <formula>RIGHT(V25,LEN("_"))="_"</formula>
    </cfRule>
  </conditionalFormatting>
  <conditionalFormatting sqref="V24:AB24">
    <cfRule type="containsText" dxfId="234" priority="112" operator="containsText" text="_instance">
      <formula>NOT(ISERROR(SEARCH("_instance",V24)))</formula>
    </cfRule>
    <cfRule type="endsWith" dxfId="233" priority="113" operator="endsWith" text="_instance">
      <formula>RIGHT(V24,LEN("_instance"))="_instance"</formula>
    </cfRule>
    <cfRule type="endsWith" dxfId="232" priority="114" operator="endsWith" text="_">
      <formula>RIGHT(V24,LEN("_"))="_"</formula>
    </cfRule>
  </conditionalFormatting>
  <conditionalFormatting sqref="V39:AB40">
    <cfRule type="containsText" dxfId="231" priority="109" operator="containsText" text="_instance">
      <formula>NOT(ISERROR(SEARCH("_instance",V39)))</formula>
    </cfRule>
    <cfRule type="endsWith" dxfId="230" priority="110" operator="endsWith" text="_instance">
      <formula>RIGHT(V39,LEN("_instance"))="_instance"</formula>
    </cfRule>
    <cfRule type="endsWith" dxfId="229" priority="111" operator="endsWith" text="_">
      <formula>RIGHT(V39,LEN("_"))="_"</formula>
    </cfRule>
  </conditionalFormatting>
  <conditionalFormatting sqref="AF40:AL41">
    <cfRule type="containsText" dxfId="228" priority="106" operator="containsText" text="_instance">
      <formula>NOT(ISERROR(SEARCH("_instance",AF40)))</formula>
    </cfRule>
    <cfRule type="endsWith" dxfId="227" priority="107" operator="endsWith" text="_instance">
      <formula>RIGHT(AF40,LEN("_instance"))="_instance"</formula>
    </cfRule>
    <cfRule type="endsWith" dxfId="226" priority="108" operator="endsWith" text="_">
      <formula>RIGHT(AF40,LEN("_"))="_"</formula>
    </cfRule>
  </conditionalFormatting>
  <conditionalFormatting sqref="AP39:AV40">
    <cfRule type="containsText" dxfId="225" priority="103" operator="containsText" text="_instance">
      <formula>NOT(ISERROR(SEARCH("_instance",AP39)))</formula>
    </cfRule>
    <cfRule type="endsWith" dxfId="224" priority="104" operator="endsWith" text="_instance">
      <formula>RIGHT(AP39,LEN("_instance"))="_instance"</formula>
    </cfRule>
    <cfRule type="endsWith" dxfId="223" priority="105" operator="endsWith" text="_">
      <formula>RIGHT(AP39,LEN("_"))="_"</formula>
    </cfRule>
  </conditionalFormatting>
  <conditionalFormatting sqref="AZ39:BF40">
    <cfRule type="containsText" dxfId="222" priority="100" operator="containsText" text="_instance">
      <formula>NOT(ISERROR(SEARCH("_instance",AZ39)))</formula>
    </cfRule>
    <cfRule type="endsWith" dxfId="221" priority="101" operator="endsWith" text="_instance">
      <formula>RIGHT(AZ39,LEN("_instance"))="_instance"</formula>
    </cfRule>
    <cfRule type="endsWith" dxfId="220" priority="102" operator="endsWith" text="_">
      <formula>RIGHT(AZ39,LEN("_"))="_"</formula>
    </cfRule>
  </conditionalFormatting>
  <conditionalFormatting sqref="BT24:BZ27">
    <cfRule type="containsText" dxfId="219" priority="97" operator="containsText" text="_instance">
      <formula>NOT(ISERROR(SEARCH("_instance",BT24)))</formula>
    </cfRule>
    <cfRule type="endsWith" dxfId="218" priority="98" operator="endsWith" text="_instance">
      <formula>RIGHT(BT24,LEN("_instance"))="_instance"</formula>
    </cfRule>
    <cfRule type="endsWith" dxfId="217" priority="99" operator="endsWith" text="_">
      <formula>RIGHT(BT24,LEN("_"))="_"</formula>
    </cfRule>
  </conditionalFormatting>
  <conditionalFormatting sqref="AZ24:BF26">
    <cfRule type="containsText" dxfId="216" priority="94" operator="containsText" text="_instance">
      <formula>NOT(ISERROR(SEARCH("_instance",AZ24)))</formula>
    </cfRule>
    <cfRule type="endsWith" dxfId="215" priority="95" operator="endsWith" text="_instance">
      <formula>RIGHT(AZ24,LEN("_instance"))="_instance"</formula>
    </cfRule>
    <cfRule type="endsWith" dxfId="214" priority="96" operator="endsWith" text="_">
      <formula>RIGHT(AZ24,LEN("_"))="_"</formula>
    </cfRule>
  </conditionalFormatting>
  <conditionalFormatting sqref="AP24:AV24">
    <cfRule type="containsText" dxfId="213" priority="91" operator="containsText" text="_instance">
      <formula>NOT(ISERROR(SEARCH("_instance",AP24)))</formula>
    </cfRule>
    <cfRule type="endsWith" dxfId="212" priority="92" operator="endsWith" text="_instance">
      <formula>RIGHT(AP24,LEN("_instance"))="_instance"</formula>
    </cfRule>
    <cfRule type="endsWith" dxfId="211" priority="93" operator="endsWith" text="_">
      <formula>RIGHT(AP24,LEN("_"))="_"</formula>
    </cfRule>
  </conditionalFormatting>
  <conditionalFormatting sqref="AF24:AL24">
    <cfRule type="containsText" dxfId="210" priority="88" operator="containsText" text="_instance">
      <formula>NOT(ISERROR(SEARCH("_instance",AF24)))</formula>
    </cfRule>
    <cfRule type="endsWith" dxfId="209" priority="89" operator="endsWith" text="_instance">
      <formula>RIGHT(AF24,LEN("_instance"))="_instance"</formula>
    </cfRule>
    <cfRule type="endsWith" dxfId="208" priority="90" operator="endsWith" text="_">
      <formula>RIGHT(AF24,LEN("_"))="_"</formula>
    </cfRule>
  </conditionalFormatting>
  <conditionalFormatting sqref="L24:R24">
    <cfRule type="containsText" dxfId="207" priority="85" operator="containsText" text="_instance">
      <formula>NOT(ISERROR(SEARCH("_instance",L24)))</formula>
    </cfRule>
    <cfRule type="endsWith" dxfId="206" priority="86" operator="endsWith" text="_instance">
      <formula>RIGHT(L24,LEN("_instance"))="_instance"</formula>
    </cfRule>
    <cfRule type="endsWith" dxfId="205" priority="87" operator="endsWith" text="_">
      <formula>RIGHT(L24,LEN("_"))="_"</formula>
    </cfRule>
  </conditionalFormatting>
  <conditionalFormatting sqref="AF12:AL14">
    <cfRule type="containsText" dxfId="204" priority="58" operator="containsText" text="_instance">
      <formula>NOT(ISERROR(SEARCH("_instance",AF12)))</formula>
    </cfRule>
    <cfRule type="endsWith" dxfId="203" priority="59" operator="endsWith" text="_instance">
      <formula>RIGHT(AF12,LEN("_instance"))="_instance"</formula>
    </cfRule>
    <cfRule type="endsWith" dxfId="202" priority="60" operator="endsWith" text="_">
      <formula>RIGHT(AF12,LEN("_"))="_"</formula>
    </cfRule>
  </conditionalFormatting>
  <conditionalFormatting sqref="V11:AB14">
    <cfRule type="containsText" dxfId="201" priority="55" operator="containsText" text="_instance">
      <formula>NOT(ISERROR(SEARCH("_instance",V11)))</formula>
    </cfRule>
    <cfRule type="endsWith" dxfId="200" priority="56" operator="endsWith" text="_instance">
      <formula>RIGHT(V11,LEN("_instance"))="_instance"</formula>
    </cfRule>
    <cfRule type="endsWith" dxfId="199" priority="57" operator="endsWith" text="_">
      <formula>RIGHT(V11,LEN("_"))="_"</formula>
    </cfRule>
  </conditionalFormatting>
  <conditionalFormatting sqref="BT11:BZ14">
    <cfRule type="containsText" dxfId="198" priority="73" operator="containsText" text="_instance">
      <formula>NOT(ISERROR(SEARCH("_instance",BT11)))</formula>
    </cfRule>
    <cfRule type="endsWith" dxfId="197" priority="74" operator="endsWith" text="_instance">
      <formula>RIGHT(BT11,LEN("_instance"))="_instance"</formula>
    </cfRule>
    <cfRule type="endsWith" dxfId="196" priority="75" operator="endsWith" text="_">
      <formula>RIGHT(BT11,LEN("_"))="_"</formula>
    </cfRule>
  </conditionalFormatting>
  <conditionalFormatting sqref="BJ11:BP14">
    <cfRule type="containsText" dxfId="195" priority="70" operator="containsText" text="_instance">
      <formula>NOT(ISERROR(SEARCH("_instance",BJ11)))</formula>
    </cfRule>
    <cfRule type="endsWith" dxfId="194" priority="71" operator="endsWith" text="_instance">
      <formula>RIGHT(BJ11,LEN("_instance"))="_instance"</formula>
    </cfRule>
    <cfRule type="endsWith" dxfId="193" priority="72" operator="endsWith" text="_">
      <formula>RIGHT(BJ11,LEN("_"))="_"</formula>
    </cfRule>
  </conditionalFormatting>
  <conditionalFormatting sqref="AZ11:BF14">
    <cfRule type="containsText" dxfId="192" priority="67" operator="containsText" text="_instance">
      <formula>NOT(ISERROR(SEARCH("_instance",AZ11)))</formula>
    </cfRule>
    <cfRule type="endsWith" dxfId="191" priority="68" operator="endsWith" text="_instance">
      <formula>RIGHT(AZ11,LEN("_instance"))="_instance"</formula>
    </cfRule>
    <cfRule type="endsWith" dxfId="190" priority="69" operator="endsWith" text="_">
      <formula>RIGHT(AZ11,LEN("_"))="_"</formula>
    </cfRule>
  </conditionalFormatting>
  <conditionalFormatting sqref="AP11:AV14">
    <cfRule type="containsText" dxfId="189" priority="64" operator="containsText" text="_instance">
      <formula>NOT(ISERROR(SEARCH("_instance",AP11)))</formula>
    </cfRule>
    <cfRule type="endsWith" dxfId="188" priority="65" operator="endsWith" text="_instance">
      <formula>RIGHT(AP11,LEN("_instance"))="_instance"</formula>
    </cfRule>
    <cfRule type="endsWith" dxfId="187" priority="66" operator="endsWith" text="_">
      <formula>RIGHT(AP11,LEN("_"))="_"</formula>
    </cfRule>
  </conditionalFormatting>
  <conditionalFormatting sqref="AF11:AL11">
    <cfRule type="containsText" dxfId="186" priority="61" operator="containsText" text="_instance">
      <formula>NOT(ISERROR(SEARCH("_instance",AF11)))</formula>
    </cfRule>
    <cfRule type="endsWith" dxfId="185" priority="62" operator="endsWith" text="_instance">
      <formula>RIGHT(AF11,LEN("_instance"))="_instance"</formula>
    </cfRule>
    <cfRule type="endsWith" dxfId="184" priority="63" operator="endsWith" text="_">
      <formula>RIGHT(AF11,LEN("_"))="_"</formula>
    </cfRule>
  </conditionalFormatting>
  <conditionalFormatting sqref="CD15:CJ15">
    <cfRule type="containsText" dxfId="183" priority="52" operator="containsText" text="_instance">
      <formula>NOT(ISERROR(SEARCH("_instance",CD15)))</formula>
    </cfRule>
    <cfRule type="endsWith" dxfId="182" priority="53" operator="endsWith" text="_instance">
      <formula>RIGHT(CD15,LEN("_instance"))="_instance"</formula>
    </cfRule>
    <cfRule type="endsWith" dxfId="181" priority="54" operator="endsWith" text="_">
      <formula>RIGHT(CD15,LEN("_"))="_"</formula>
    </cfRule>
  </conditionalFormatting>
  <conditionalFormatting sqref="BJ28:BP28">
    <cfRule type="containsText" dxfId="180" priority="49" operator="containsText" text="_instance">
      <formula>NOT(ISERROR(SEARCH("_instance",BJ28)))</formula>
    </cfRule>
    <cfRule type="endsWith" dxfId="179" priority="50" operator="endsWith" text="_instance">
      <formula>RIGHT(BJ28,LEN("_instance"))="_instance"</formula>
    </cfRule>
    <cfRule type="endsWith" dxfId="178" priority="51" operator="endsWith" text="_">
      <formula>RIGHT(BJ28,LEN("_"))="_"</formula>
    </cfRule>
  </conditionalFormatting>
  <conditionalFormatting sqref="B31:H31">
    <cfRule type="containsText" dxfId="177" priority="16" operator="containsText" text="_instance">
      <formula>NOT(ISERROR(SEARCH("_instance",B31)))</formula>
    </cfRule>
    <cfRule type="endsWith" dxfId="176" priority="17" operator="endsWith" text="_instance">
      <formula>RIGHT(B31,LEN("_instance"))="_instance"</formula>
    </cfRule>
    <cfRule type="endsWith" dxfId="175" priority="18" operator="endsWith" text="_">
      <formula>RIGHT(B31,LEN("_"))="_"</formula>
    </cfRule>
  </conditionalFormatting>
  <conditionalFormatting sqref="B7:H7">
    <cfRule type="containsText" dxfId="174" priority="43" operator="containsText" text="_instance">
      <formula>NOT(ISERROR(SEARCH("_instance",B7)))</formula>
    </cfRule>
    <cfRule type="endsWith" dxfId="173" priority="44" operator="endsWith" text="_instance">
      <formula>RIGHT(B7,LEN("_instance"))="_instance"</formula>
    </cfRule>
    <cfRule type="endsWith" dxfId="172" priority="45" operator="endsWith" text="_">
      <formula>RIGHT(B7,LEN("_"))="_"</formula>
    </cfRule>
  </conditionalFormatting>
  <conditionalFormatting sqref="B8:H15">
    <cfRule type="containsText" dxfId="171" priority="40" operator="containsText" text="_instance">
      <formula>NOT(ISERROR(SEARCH("_instance",B8)))</formula>
    </cfRule>
    <cfRule type="endsWith" dxfId="170" priority="41" operator="endsWith" text="_instance">
      <formula>RIGHT(B8,LEN("_instance"))="_instance"</formula>
    </cfRule>
    <cfRule type="endsWith" dxfId="169" priority="42" operator="endsWith" text="_">
      <formula>RIGHT(B8,LEN("_"))="_"</formula>
    </cfRule>
  </conditionalFormatting>
  <conditionalFormatting sqref="L6:R10">
    <cfRule type="containsText" dxfId="168" priority="37" operator="containsText" text="_instance">
      <formula>NOT(ISERROR(SEARCH("_instance",L6)))</formula>
    </cfRule>
    <cfRule type="endsWith" dxfId="167" priority="38" operator="endsWith" text="_instance">
      <formula>RIGHT(L6,LEN("_instance"))="_instance"</formula>
    </cfRule>
    <cfRule type="endsWith" dxfId="166" priority="39" operator="endsWith" text="_">
      <formula>RIGHT(L6,LEN("_"))="_"</formula>
    </cfRule>
  </conditionalFormatting>
  <conditionalFormatting sqref="K11:K16">
    <cfRule type="containsText" dxfId="165" priority="34" operator="containsText" text="_instance">
      <formula>NOT(ISERROR(SEARCH("_instance",K11)))</formula>
    </cfRule>
    <cfRule type="endsWith" dxfId="164" priority="35" operator="endsWith" text="_instance">
      <formula>RIGHT(K11,LEN("_instance"))="_instance"</formula>
    </cfRule>
    <cfRule type="endsWith" dxfId="163" priority="36" operator="endsWith" text="_">
      <formula>RIGHT(K11,LEN("_"))="_"</formula>
    </cfRule>
  </conditionalFormatting>
  <conditionalFormatting sqref="K4:K5">
    <cfRule type="containsText" dxfId="162" priority="31" operator="containsText" text="_instance">
      <formula>NOT(ISERROR(SEARCH("_instance",K4)))</formula>
    </cfRule>
    <cfRule type="endsWith" dxfId="161" priority="32" operator="endsWith" text="_instance">
      <formula>RIGHT(K4,LEN("_instance"))="_instance"</formula>
    </cfRule>
    <cfRule type="endsWith" dxfId="160" priority="33" operator="endsWith" text="_">
      <formula>RIGHT(K4,LEN("_"))="_"</formula>
    </cfRule>
  </conditionalFormatting>
  <conditionalFormatting sqref="A4:A6">
    <cfRule type="containsText" dxfId="159" priority="28" operator="containsText" text="_instance">
      <formula>NOT(ISERROR(SEARCH("_instance",A4)))</formula>
    </cfRule>
    <cfRule type="endsWith" dxfId="158" priority="29" operator="endsWith" text="_instance">
      <formula>RIGHT(A4,LEN("_instance"))="_instance"</formula>
    </cfRule>
    <cfRule type="endsWith" dxfId="157" priority="30" operator="endsWith" text="_">
      <formula>RIGHT(A4,LEN("_"))="_"</formula>
    </cfRule>
  </conditionalFormatting>
  <conditionalFormatting sqref="B28:H29">
    <cfRule type="containsText" dxfId="156" priority="10" operator="containsText" text="_instance">
      <formula>NOT(ISERROR(SEARCH("_instance",B28)))</formula>
    </cfRule>
    <cfRule type="endsWith" dxfId="155" priority="11" operator="endsWith" text="_instance">
      <formula>RIGHT(B28,LEN("_instance"))="_instance"</formula>
    </cfRule>
    <cfRule type="endsWith" dxfId="154" priority="12" operator="endsWith" text="_">
      <formula>RIGHT(B28,LEN("_"))="_"</formula>
    </cfRule>
  </conditionalFormatting>
  <conditionalFormatting sqref="B20:H24">
    <cfRule type="containsText" dxfId="153" priority="25" operator="containsText" text="_instance">
      <formula>NOT(ISERROR(SEARCH("_instance",B20)))</formula>
    </cfRule>
    <cfRule type="endsWith" dxfId="152" priority="26" operator="endsWith" text="_instance">
      <formula>RIGHT(B20,LEN("_instance"))="_instance"</formula>
    </cfRule>
    <cfRule type="endsWith" dxfId="151" priority="27" operator="endsWith" text="_">
      <formula>RIGHT(B20,LEN("_"))="_"</formula>
    </cfRule>
  </conditionalFormatting>
  <conditionalFormatting sqref="B25:H25">
    <cfRule type="containsText" dxfId="150" priority="22" operator="containsText" text="_instance">
      <formula>NOT(ISERROR(SEARCH("_instance",B25)))</formula>
    </cfRule>
    <cfRule type="endsWith" dxfId="149" priority="23" operator="endsWith" text="_instance">
      <formula>RIGHT(B25,LEN("_instance"))="_instance"</formula>
    </cfRule>
    <cfRule type="endsWith" dxfId="148" priority="24" operator="endsWith" text="_">
      <formula>RIGHT(B25,LEN("_"))="_"</formula>
    </cfRule>
  </conditionalFormatting>
  <conditionalFormatting sqref="B26:H27">
    <cfRule type="containsText" dxfId="147" priority="19" operator="containsText" text="_instance">
      <formula>NOT(ISERROR(SEARCH("_instance",B26)))</formula>
    </cfRule>
    <cfRule type="endsWith" dxfId="146" priority="20" operator="endsWith" text="_instance">
      <formula>RIGHT(B26,LEN("_instance"))="_instance"</formula>
    </cfRule>
    <cfRule type="endsWith" dxfId="145" priority="21" operator="endsWith" text="_">
      <formula>RIGHT(B26,LEN("_"))="_"</formula>
    </cfRule>
  </conditionalFormatting>
  <conditionalFormatting sqref="B30:H30">
    <cfRule type="containsText" dxfId="144" priority="13" operator="containsText" text="_instance">
      <formula>NOT(ISERROR(SEARCH("_instance",B30)))</formula>
    </cfRule>
    <cfRule type="endsWith" dxfId="143" priority="14" operator="endsWith" text="_instance">
      <formula>RIGHT(B30,LEN("_instance"))="_instance"</formula>
    </cfRule>
    <cfRule type="endsWith" dxfId="142" priority="15" operator="endsWith" text="_">
      <formula>RIGHT(B30,LEN("_"))="_"</formula>
    </cfRule>
  </conditionalFormatting>
  <conditionalFormatting sqref="CD31:CJ31">
    <cfRule type="containsText" dxfId="141" priority="7" operator="containsText" text="_instance">
      <formula>NOT(ISERROR(SEARCH("_instance",CD31)))</formula>
    </cfRule>
    <cfRule type="endsWith" dxfId="140" priority="8" operator="endsWith" text="_instance">
      <formula>RIGHT(CD31,LEN("_instance"))="_instance"</formula>
    </cfRule>
    <cfRule type="endsWith" dxfId="139" priority="9" operator="endsWith" text="_">
      <formula>RIGHT(CD31,LEN("_"))="_"</formula>
    </cfRule>
  </conditionalFormatting>
  <conditionalFormatting sqref="CX20:DD31">
    <cfRule type="containsText" dxfId="138" priority="4" operator="containsText" text="_instance">
      <formula>NOT(ISERROR(SEARCH("_instance",CX20)))</formula>
    </cfRule>
    <cfRule type="endsWith" dxfId="137" priority="5" operator="endsWith" text="_instance">
      <formula>RIGHT(CX20,LEN("_instance"))="_instance"</formula>
    </cfRule>
    <cfRule type="endsWith" dxfId="136" priority="6" operator="endsWith" text="_">
      <formula>RIGHT(CX20,LEN("_"))="_"</formula>
    </cfRule>
  </conditionalFormatting>
  <conditionalFormatting sqref="CN31:CT31">
    <cfRule type="containsText" dxfId="135" priority="1" operator="containsText" text="_instance">
      <formula>NOT(ISERROR(SEARCH("_instance",CN31)))</formula>
    </cfRule>
    <cfRule type="endsWith" dxfId="134" priority="2" operator="endsWith" text="_instance">
      <formula>RIGHT(CN31,LEN("_instance"))="_instance"</formula>
    </cfRule>
    <cfRule type="endsWith" dxfId="133" priority="3" operator="endsWith" text="_">
      <formula>RIGHT(CN31,LEN("_"))="_"</formula>
    </cfRule>
  </conditionalFormatting>
  <hyperlinks>
    <hyperlink ref="B2" location="Object!A1" display="Object!A1" xr:uid="{71D02624-56A1-4DA3-BA8D-81BD0AE8152E}"/>
    <hyperlink ref="AZ35" location="Work!A1" display="Work!A1" xr:uid="{3554DE1B-40A3-44B2-B74D-8B67A28DC1B4}"/>
    <hyperlink ref="AZ20" location="WorkListRecord!A1" display="WorkListRecord!A1" xr:uid="{3DB05852-6506-417F-B9AF-6A35012FAF21}"/>
    <hyperlink ref="AZ5" location="WorkList!A1" display="WorkList!A1" xr:uid="{DA3D6C3C-85E1-4B64-9F93-A1F15D26F51D}"/>
    <hyperlink ref="V35" location="Cable!A1" display="Cable!A1" xr:uid="{514505D4-D9A9-4EF5-AD95-E0FACB753370}"/>
    <hyperlink ref="V20" location="CableListRecord!A1" display="CableListRecord!A1" xr:uid="{CECC6BB0-F6C2-43BA-95BE-A0653321D6E8}"/>
    <hyperlink ref="V5" location="CableList!A1" display="CableList!A1" xr:uid="{F0912D7F-4F28-4E95-A6EB-36A8250BCD7D}"/>
    <hyperlink ref="AF35" location="MatListRecord!A1" display="MatListRecord!A1" xr:uid="{B8796146-E96D-4ED7-9D28-C033F9DFACA0}"/>
    <hyperlink ref="AF20" location="Material!A1" display="Material!A1" xr:uid="{CA5EFA22-6DDE-47D3-8E22-FABD8046FDFA}"/>
    <hyperlink ref="AF5" location="MatList!A1" display="MatList!A1" xr:uid="{22C8B752-774B-4579-90E7-4A44C9F28BA0}"/>
    <hyperlink ref="B35" location="Category!A1" display="Category!A1" xr:uid="{92977935-B20F-4BA4-9EC9-9270446DF35C}"/>
    <hyperlink ref="AP35" location="Equipment!A1" display="Equipment!A1" xr:uid="{712E27DF-6F60-4FEE-AD7C-91E6F69C6111}"/>
    <hyperlink ref="AP20" location="EquipListRecord!A1" display="EquipListRecord!A1" xr:uid="{2A1ACF66-07A3-43DB-9483-CE94D6B896D0}"/>
    <hyperlink ref="AP5" location="EquipList!A1" display="EquipList!A1" xr:uid="{D0A48609-1D21-4134-B529-936E6C18BCAF}"/>
    <hyperlink ref="BJ50" location="UnitType!A1" display="UnitType!A1" xr:uid="{F3252CD4-2557-4C79-85DB-436D24ABF755}"/>
    <hyperlink ref="BT20" location="SpecRecord!A1" display="SpecRecord!A1" xr:uid="{C5B9CAEE-BBB4-4E29-88C6-0ACDB72AE04C}"/>
    <hyperlink ref="BT5" location="Spec!A1" display="Spec!A1" xr:uid="{6F5DC22D-1334-48AE-9759-C9799F917AC8}"/>
    <hyperlink ref="L35" location="DocTypeType!A1" display="DocTypeType!A1" xr:uid="{5C11D08A-403E-4692-9916-CD70E6C3509D}"/>
    <hyperlink ref="L20" location="DocType!A1" display="DocType!A1" xr:uid="{104E1BD5-763E-4F8F-A7AC-D98D28DD7DF8}"/>
    <hyperlink ref="BJ20" location="DocListRecord!A1" display="DocListRecord!A1" xr:uid="{C20A0765-21F1-4224-9803-6673940025BF}"/>
    <hyperlink ref="BJ5" location="DocList!A1" display="DocList!A1" xr:uid="{57F4E63B-DB0A-447B-B1FB-A7D787AC0C26}"/>
    <hyperlink ref="L2" location="Project!A1" display="Project!A1" xr:uid="{8DB4BB42-29D7-4BB5-AD3C-C28732D612CB}"/>
    <hyperlink ref="AP47" location="Spec!A1" display="Spec!A1" xr:uid="{6AF2026E-6FF2-4E43-A263-AFBB575F30B8}"/>
    <hyperlink ref="B47" location="Category!A1" display="Category!A1" xr:uid="{6E799F43-903C-4765-9E15-1547698E7E5B}"/>
    <hyperlink ref="L50" location="Category!A1" display="Category!A1" xr:uid="{3D0CF985-D17D-4AD5-83A8-8800E8BB55A8}"/>
    <hyperlink ref="V50" location="Category!A1" display="Category!A1" xr:uid="{1AD68F93-6512-43D3-898B-570B680AC84A}"/>
    <hyperlink ref="AF50" location="Category!A1" display="Category!A1" xr:uid="{FAF2D587-B482-4CFA-AD2E-B2754E52C799}"/>
    <hyperlink ref="AF20:AL20" location="MatListRecord!A1" display="MatListRecord" xr:uid="{778D13E0-B0E6-4C5C-99C6-0F614572C04B}"/>
    <hyperlink ref="AZ50" location="Category!A1" display="Category!A1" xr:uid="{9E4615A1-8AC3-45AB-A7FB-3D6F5CA00A19}"/>
    <hyperlink ref="CD5" location="Spec!A1" display="Spec!A1" xr:uid="{2C90A925-2028-41EA-8413-AA8DB154FF47}"/>
    <hyperlink ref="CD20" location="Spec!A1" display="Spec!A1" xr:uid="{351B59E2-8BC5-48F4-9AA8-AAD127303721}"/>
    <hyperlink ref="CD35" location="Spec!A1" display="Spec!A1" xr:uid="{C030FC28-2C79-4B4C-B362-C030809BBB9D}"/>
    <hyperlink ref="CN5" location="Spec!A1" display="Spec!A1" xr:uid="{FFC0D626-83CC-4FCA-B51E-1662C52EFFC7}"/>
    <hyperlink ref="B20" location="Object!A1" display="Object!A1" xr:uid="{910C2422-E1FE-4520-8E46-94A19F9DA25C}"/>
    <hyperlink ref="CN20" location="Spec!A1" display="Spec!A1" xr:uid="{E2F0A596-1189-4468-8C9A-5F6691DCA349}"/>
    <hyperlink ref="CX20" location="Spec!A1" display="Spec!A1" xr:uid="{191F6D54-2033-4172-97EB-A377D84684FD}"/>
  </hyperlinks>
  <pageMargins left="0.7" right="0.7" top="0.75" bottom="0.75" header="0.3" footer="0.3"/>
  <pageSetup paperSize="9"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111C-8A24-4303-BC85-B446E2F5CC2A}">
  <sheetPr filterMode="1"/>
  <dimension ref="A1:AI92"/>
  <sheetViews>
    <sheetView tabSelected="1" workbookViewId="0">
      <selection activeCell="C1" sqref="C1"/>
    </sheetView>
  </sheetViews>
  <sheetFormatPr defaultRowHeight="12.75" x14ac:dyDescent="0.2"/>
  <cols>
    <col min="1" max="1" width="2.7109375" style="1" customWidth="1"/>
    <col min="2" max="2" width="24.5703125" style="1" customWidth="1"/>
    <col min="3" max="3" width="11.140625" style="6" customWidth="1"/>
    <col min="4" max="4" width="25" style="6" customWidth="1"/>
    <col min="5" max="5" width="1.140625" style="6" customWidth="1"/>
    <col min="6" max="6" width="3" style="1" bestFit="1" customWidth="1"/>
    <col min="7" max="7" width="25.140625" style="1" customWidth="1"/>
    <col min="8" max="8" width="10.7109375" style="6" customWidth="1"/>
    <col min="9" max="9" width="19.85546875" style="6" customWidth="1"/>
    <col min="10" max="10" width="1" style="6" customWidth="1"/>
    <col min="11" max="11" width="3" style="6" bestFit="1" customWidth="1"/>
    <col min="12" max="12" width="25.7109375" style="1" customWidth="1"/>
    <col min="13" max="13" width="11.42578125" style="6" customWidth="1"/>
    <col min="14" max="14" width="23.28515625" style="6" customWidth="1"/>
    <col min="15" max="15" width="1.140625" style="6" customWidth="1"/>
    <col min="16" max="16" width="3" style="1" bestFit="1" customWidth="1"/>
    <col min="17" max="17" width="37" style="1" customWidth="1"/>
    <col min="18" max="18" width="12.85546875" style="6" customWidth="1"/>
    <col min="19" max="19" width="2" style="133" bestFit="1" customWidth="1"/>
    <col min="20" max="20" width="13.5703125" style="1" customWidth="1"/>
    <col min="21" max="21" width="12.85546875" style="6" customWidth="1"/>
    <col min="22" max="22" width="4" style="1" bestFit="1" customWidth="1"/>
    <col min="23" max="23" width="24.42578125" style="1" customWidth="1"/>
    <col min="24" max="24" width="13.85546875" style="6" customWidth="1"/>
    <col min="25" max="25" width="3.7109375" style="1" bestFit="1" customWidth="1"/>
    <col min="26" max="26" width="20.28515625" style="1" customWidth="1"/>
    <col min="27" max="27" width="14.85546875" style="6" customWidth="1"/>
    <col min="28" max="16384" width="9.140625" style="1"/>
  </cols>
  <sheetData>
    <row r="1" spans="1:35" ht="25.5" x14ac:dyDescent="0.2">
      <c r="A1" s="6"/>
      <c r="B1" s="140" t="s">
        <v>480</v>
      </c>
      <c r="C1" s="121" t="s">
        <v>500</v>
      </c>
      <c r="D1" s="40" t="s">
        <v>501</v>
      </c>
      <c r="E1" s="40"/>
      <c r="F1" s="124"/>
      <c r="G1" s="124" t="s">
        <v>428</v>
      </c>
      <c r="L1" s="138" t="s">
        <v>421</v>
      </c>
      <c r="M1" s="139"/>
      <c r="N1" s="139"/>
      <c r="O1" s="139"/>
      <c r="Q1" s="141" t="s">
        <v>435</v>
      </c>
      <c r="S1" s="134" t="s">
        <v>491</v>
      </c>
      <c r="T1" s="4"/>
      <c r="V1" s="4" t="s">
        <v>472</v>
      </c>
      <c r="W1" s="4"/>
      <c r="Y1" s="4" t="s">
        <v>476</v>
      </c>
      <c r="Z1" s="4"/>
    </row>
    <row r="2" spans="1:35" x14ac:dyDescent="0.2">
      <c r="A2" s="151">
        <v>2</v>
      </c>
      <c r="B2" s="152" t="s">
        <v>408</v>
      </c>
      <c r="C2" s="150" t="s">
        <v>502</v>
      </c>
      <c r="D2" s="150" t="s">
        <v>166</v>
      </c>
      <c r="E2" s="142"/>
      <c r="F2" s="146">
        <v>1</v>
      </c>
      <c r="G2" s="147" t="s">
        <v>408</v>
      </c>
      <c r="H2" s="150" t="str">
        <f>C2</f>
        <v>number</v>
      </c>
      <c r="I2" s="150" t="str">
        <f t="shared" ref="I2" si="0">D2</f>
        <v>SpecRecord_instance</v>
      </c>
      <c r="J2" s="142"/>
      <c r="K2" s="146">
        <v>1</v>
      </c>
      <c r="L2" s="147" t="s">
        <v>408</v>
      </c>
      <c r="M2" s="150" t="str">
        <f>H2</f>
        <v>number</v>
      </c>
      <c r="N2" s="150" t="str">
        <f t="shared" ref="N2" si="1">I2</f>
        <v>SpecRecord_instance</v>
      </c>
      <c r="O2" s="142"/>
      <c r="P2" s="19">
        <v>1</v>
      </c>
      <c r="Q2" s="126" t="s">
        <v>408</v>
      </c>
      <c r="R2" s="142" t="s">
        <v>497</v>
      </c>
      <c r="S2" s="137">
        <v>1</v>
      </c>
      <c r="T2" s="126" t="s">
        <v>408</v>
      </c>
      <c r="U2" s="142" t="s">
        <v>497</v>
      </c>
      <c r="V2" s="19">
        <v>1</v>
      </c>
      <c r="W2" s="122" t="s">
        <v>408</v>
      </c>
      <c r="X2" s="142" t="s">
        <v>497</v>
      </c>
      <c r="Y2" s="19">
        <v>1</v>
      </c>
      <c r="Z2" s="122" t="s">
        <v>408</v>
      </c>
      <c r="AA2" s="142" t="s">
        <v>497</v>
      </c>
      <c r="AB2" s="128"/>
      <c r="AC2" s="128"/>
      <c r="AD2" s="128"/>
      <c r="AE2" s="128"/>
      <c r="AF2" s="128"/>
      <c r="AG2" s="128"/>
      <c r="AH2" s="45"/>
      <c r="AI2" s="45"/>
    </row>
    <row r="3" spans="1:35" hidden="1" x14ac:dyDescent="0.2">
      <c r="A3" s="31"/>
      <c r="B3" s="31"/>
      <c r="C3" s="19"/>
      <c r="D3" s="19"/>
      <c r="E3" s="19"/>
      <c r="F3" s="119">
        <v>2</v>
      </c>
      <c r="G3" s="122" t="s">
        <v>409</v>
      </c>
      <c r="H3" s="19"/>
      <c r="I3" s="19"/>
      <c r="J3" s="19"/>
      <c r="K3" s="19">
        <v>2</v>
      </c>
      <c r="L3" s="122" t="s">
        <v>409</v>
      </c>
      <c r="M3" s="119"/>
      <c r="N3" s="119"/>
      <c r="O3" s="119"/>
      <c r="P3" s="19">
        <v>2</v>
      </c>
      <c r="Q3" s="126" t="s">
        <v>409</v>
      </c>
      <c r="R3" s="137"/>
      <c r="S3" s="137">
        <v>2</v>
      </c>
      <c r="T3" s="27"/>
      <c r="U3" s="137"/>
      <c r="V3" s="31"/>
      <c r="W3" s="31"/>
      <c r="X3" s="19"/>
      <c r="Y3" s="31"/>
      <c r="Z3" s="31"/>
      <c r="AA3" s="119"/>
      <c r="AB3" s="130"/>
      <c r="AC3" s="130"/>
      <c r="AD3" s="130"/>
      <c r="AE3" s="130"/>
      <c r="AF3" s="130"/>
      <c r="AG3" s="130"/>
      <c r="AH3" s="131"/>
      <c r="AI3" s="128"/>
    </row>
    <row r="4" spans="1:35" hidden="1" x14ac:dyDescent="0.2">
      <c r="A4" s="31"/>
      <c r="B4" s="31"/>
      <c r="C4" s="142"/>
      <c r="D4" s="142"/>
      <c r="E4" s="142"/>
      <c r="F4" s="119">
        <v>3</v>
      </c>
      <c r="G4" s="122" t="s">
        <v>410</v>
      </c>
      <c r="H4" s="19"/>
      <c r="I4" s="19"/>
      <c r="J4" s="19"/>
      <c r="K4" s="19">
        <v>3</v>
      </c>
      <c r="L4" s="122" t="s">
        <v>410</v>
      </c>
      <c r="M4" s="119"/>
      <c r="N4" s="119"/>
      <c r="O4" s="119"/>
      <c r="P4" s="19">
        <v>3</v>
      </c>
      <c r="Q4" s="126" t="s">
        <v>429</v>
      </c>
      <c r="R4" s="137"/>
      <c r="S4" s="137">
        <v>3</v>
      </c>
      <c r="T4" s="122" t="s">
        <v>410</v>
      </c>
      <c r="U4" s="19"/>
      <c r="V4" s="31"/>
      <c r="W4" s="31"/>
      <c r="X4" s="19"/>
      <c r="Y4" s="19">
        <v>2</v>
      </c>
      <c r="Z4" s="122" t="s">
        <v>473</v>
      </c>
      <c r="AA4" s="19"/>
    </row>
    <row r="5" spans="1:35" hidden="1" x14ac:dyDescent="0.2">
      <c r="A5" s="31"/>
      <c r="B5" s="31"/>
      <c r="C5" s="142"/>
      <c r="D5" s="142"/>
      <c r="E5" s="142"/>
      <c r="F5" s="119"/>
      <c r="G5" s="122"/>
      <c r="H5" s="19"/>
      <c r="I5" s="19"/>
      <c r="J5" s="19"/>
      <c r="K5" s="19"/>
      <c r="L5" s="122"/>
      <c r="M5" s="119"/>
      <c r="N5" s="119"/>
      <c r="O5" s="119"/>
      <c r="P5" s="19"/>
      <c r="Q5" s="126"/>
      <c r="R5" s="137"/>
      <c r="S5" s="137">
        <v>4</v>
      </c>
      <c r="T5" s="122" t="s">
        <v>495</v>
      </c>
      <c r="U5" s="19"/>
      <c r="V5" s="31"/>
      <c r="W5" s="31"/>
      <c r="X5" s="19"/>
      <c r="Y5" s="31"/>
      <c r="Z5" s="31"/>
      <c r="AA5" s="19"/>
    </row>
    <row r="6" spans="1:35" hidden="1" x14ac:dyDescent="0.2">
      <c r="A6" s="31"/>
      <c r="B6" s="31"/>
      <c r="C6" s="142"/>
      <c r="D6" s="142"/>
      <c r="E6" s="142"/>
      <c r="F6" s="119"/>
      <c r="G6" s="122"/>
      <c r="H6" s="19"/>
      <c r="I6" s="19"/>
      <c r="J6" s="19"/>
      <c r="K6" s="19"/>
      <c r="L6" s="122"/>
      <c r="M6" s="119"/>
      <c r="N6" s="119"/>
      <c r="O6" s="119"/>
      <c r="P6" s="19"/>
      <c r="Q6" s="126"/>
      <c r="R6" s="137"/>
      <c r="S6" s="137">
        <v>5</v>
      </c>
      <c r="T6" s="136" t="s">
        <v>493</v>
      </c>
      <c r="U6" s="19"/>
      <c r="V6" s="31"/>
      <c r="W6" s="31"/>
      <c r="X6" s="19"/>
      <c r="Y6" s="31"/>
      <c r="Z6" s="31"/>
      <c r="AA6" s="19"/>
    </row>
    <row r="7" spans="1:35" hidden="1" x14ac:dyDescent="0.2">
      <c r="A7" s="31"/>
      <c r="B7" s="31"/>
      <c r="C7" s="142"/>
      <c r="D7" s="142"/>
      <c r="E7" s="142"/>
      <c r="F7" s="119"/>
      <c r="G7" s="122"/>
      <c r="H7" s="19"/>
      <c r="I7" s="19"/>
      <c r="J7" s="19"/>
      <c r="K7" s="19"/>
      <c r="L7" s="122"/>
      <c r="M7" s="119"/>
      <c r="N7" s="119"/>
      <c r="O7" s="119"/>
      <c r="P7" s="19"/>
      <c r="Q7" s="126"/>
      <c r="R7" s="137"/>
      <c r="S7" s="137">
        <v>6</v>
      </c>
      <c r="T7" s="136" t="s">
        <v>494</v>
      </c>
      <c r="U7" s="19"/>
      <c r="V7" s="31"/>
      <c r="W7" s="31"/>
      <c r="X7" s="19"/>
      <c r="Y7" s="31"/>
      <c r="Z7" s="31"/>
      <c r="AA7" s="19"/>
    </row>
    <row r="8" spans="1:35" hidden="1" x14ac:dyDescent="0.2">
      <c r="A8" s="31"/>
      <c r="B8" s="31"/>
      <c r="C8" s="19"/>
      <c r="D8" s="19"/>
      <c r="E8" s="19"/>
      <c r="F8" s="119">
        <v>4</v>
      </c>
      <c r="G8" s="122" t="s">
        <v>422</v>
      </c>
      <c r="H8" s="19"/>
      <c r="I8" s="19"/>
      <c r="J8" s="19"/>
      <c r="K8" s="19">
        <v>4</v>
      </c>
      <c r="L8" s="122" t="s">
        <v>422</v>
      </c>
      <c r="M8" s="119"/>
      <c r="N8" s="119"/>
      <c r="O8" s="119"/>
      <c r="P8" s="19"/>
      <c r="Q8" s="31"/>
      <c r="R8" s="19"/>
      <c r="S8" s="30"/>
      <c r="T8" s="31"/>
      <c r="U8" s="19"/>
      <c r="V8" s="31"/>
      <c r="W8" s="31"/>
      <c r="X8" s="19"/>
      <c r="Y8" s="31"/>
      <c r="Z8" s="31"/>
      <c r="AA8" s="19"/>
    </row>
    <row r="9" spans="1:35" ht="25.5" hidden="1" customHeight="1" x14ac:dyDescent="0.2">
      <c r="A9" s="31"/>
      <c r="B9" s="31"/>
      <c r="C9" s="19"/>
      <c r="D9" s="19"/>
      <c r="E9" s="19"/>
      <c r="F9" s="119">
        <v>5</v>
      </c>
      <c r="G9" s="122" t="s">
        <v>411</v>
      </c>
      <c r="H9" s="19"/>
      <c r="I9" s="19"/>
      <c r="J9" s="19"/>
      <c r="K9" s="19">
        <v>5</v>
      </c>
      <c r="L9" s="122" t="s">
        <v>411</v>
      </c>
      <c r="M9" s="119"/>
      <c r="N9" s="119"/>
      <c r="O9" s="119"/>
      <c r="P9" s="19">
        <v>4</v>
      </c>
      <c r="Q9" s="126" t="s">
        <v>411</v>
      </c>
      <c r="R9" s="137"/>
      <c r="S9" s="137"/>
      <c r="T9" s="31"/>
      <c r="U9" s="19"/>
      <c r="V9" s="31"/>
      <c r="W9" s="31"/>
      <c r="X9" s="19"/>
      <c r="Y9" s="19">
        <v>4</v>
      </c>
      <c r="Z9" s="122" t="s">
        <v>411</v>
      </c>
      <c r="AA9" s="19"/>
    </row>
    <row r="10" spans="1:35" hidden="1" x14ac:dyDescent="0.2">
      <c r="A10" s="31"/>
      <c r="B10" s="31"/>
      <c r="C10" s="19"/>
      <c r="D10" s="19"/>
      <c r="E10" s="19"/>
      <c r="F10" s="119">
        <v>6</v>
      </c>
      <c r="G10" s="122" t="s">
        <v>412</v>
      </c>
      <c r="H10" s="19"/>
      <c r="I10" s="19"/>
      <c r="J10" s="19"/>
      <c r="K10" s="19">
        <v>6</v>
      </c>
      <c r="L10" s="122" t="s">
        <v>412</v>
      </c>
      <c r="M10" s="119"/>
      <c r="N10" s="119"/>
      <c r="O10" s="119"/>
      <c r="P10" s="19">
        <v>5</v>
      </c>
      <c r="Q10" s="126" t="s">
        <v>412</v>
      </c>
      <c r="R10" s="137"/>
      <c r="S10" s="137"/>
      <c r="T10" s="31"/>
      <c r="U10" s="137"/>
      <c r="V10" s="31"/>
      <c r="W10" s="31"/>
      <c r="X10" s="19"/>
      <c r="Y10" s="31"/>
      <c r="Z10" s="31"/>
      <c r="AA10" s="19"/>
    </row>
    <row r="11" spans="1:35" ht="25.5" hidden="1" x14ac:dyDescent="0.2">
      <c r="A11" s="31"/>
      <c r="B11" s="31"/>
      <c r="C11" s="19"/>
      <c r="D11" s="19"/>
      <c r="E11" s="19"/>
      <c r="F11" s="119">
        <v>7</v>
      </c>
      <c r="G11" s="123" t="s">
        <v>423</v>
      </c>
      <c r="H11" s="19"/>
      <c r="I11" s="19"/>
      <c r="J11" s="19"/>
      <c r="K11" s="19">
        <v>7</v>
      </c>
      <c r="L11" s="123" t="s">
        <v>423</v>
      </c>
      <c r="M11" s="120"/>
      <c r="N11" s="120"/>
      <c r="O11" s="120"/>
      <c r="P11" s="31"/>
      <c r="Q11" s="31"/>
      <c r="R11" s="137"/>
      <c r="S11" s="137"/>
      <c r="T11" s="127"/>
      <c r="U11" s="137"/>
      <c r="V11" s="31"/>
      <c r="W11" s="31"/>
      <c r="X11" s="19"/>
      <c r="Y11" s="31"/>
      <c r="Z11" s="31"/>
      <c r="AA11" s="19"/>
    </row>
    <row r="12" spans="1:35" ht="16.5" hidden="1" customHeight="1" x14ac:dyDescent="0.2">
      <c r="A12" s="31"/>
      <c r="B12" s="31"/>
      <c r="C12" s="19"/>
      <c r="D12" s="19"/>
      <c r="E12" s="19"/>
      <c r="F12" s="119">
        <v>8</v>
      </c>
      <c r="G12" s="123" t="s">
        <v>413</v>
      </c>
      <c r="H12" s="19"/>
      <c r="I12" s="19"/>
      <c r="J12" s="19"/>
      <c r="K12" s="19">
        <v>8</v>
      </c>
      <c r="L12" s="123" t="s">
        <v>413</v>
      </c>
      <c r="M12" s="120"/>
      <c r="N12" s="120"/>
      <c r="O12" s="120"/>
      <c r="P12" s="31"/>
      <c r="Q12" s="31"/>
      <c r="R12" s="137"/>
      <c r="S12" s="137"/>
      <c r="T12" s="127"/>
      <c r="U12" s="137"/>
      <c r="V12" s="31"/>
      <c r="W12" s="31"/>
      <c r="X12" s="19"/>
      <c r="Y12" s="31"/>
      <c r="Z12" s="31"/>
      <c r="AA12" s="19"/>
    </row>
    <row r="13" spans="1:35" ht="45" hidden="1" customHeight="1" x14ac:dyDescent="0.2">
      <c r="A13" s="31"/>
      <c r="B13" s="31"/>
      <c r="C13" s="142"/>
      <c r="D13" s="142"/>
      <c r="E13" s="142"/>
      <c r="F13" s="119">
        <v>9</v>
      </c>
      <c r="G13" s="123" t="s">
        <v>436</v>
      </c>
      <c r="H13" s="19"/>
      <c r="I13" s="19"/>
      <c r="J13" s="19"/>
      <c r="K13" s="19">
        <v>9</v>
      </c>
      <c r="L13" s="123" t="s">
        <v>437</v>
      </c>
      <c r="M13" s="120"/>
      <c r="N13" s="120"/>
      <c r="O13" s="120"/>
      <c r="P13" s="31"/>
      <c r="Q13" s="31"/>
      <c r="R13" s="137"/>
      <c r="S13" s="137"/>
      <c r="T13" s="127"/>
      <c r="U13" s="137"/>
      <c r="V13" s="31"/>
      <c r="W13" s="31"/>
      <c r="X13" s="19"/>
      <c r="Y13" s="31"/>
      <c r="Z13" s="31"/>
      <c r="AA13" s="19"/>
    </row>
    <row r="14" spans="1:35" ht="45" hidden="1" customHeight="1" x14ac:dyDescent="0.2">
      <c r="A14" s="31"/>
      <c r="B14" s="31"/>
      <c r="C14" s="19"/>
      <c r="D14" s="19"/>
      <c r="E14" s="19"/>
      <c r="F14" s="119">
        <v>10</v>
      </c>
      <c r="G14" s="122" t="s">
        <v>424</v>
      </c>
      <c r="H14" s="19"/>
      <c r="I14" s="19"/>
      <c r="J14" s="19"/>
      <c r="K14" s="19">
        <v>10</v>
      </c>
      <c r="L14" s="122" t="s">
        <v>424</v>
      </c>
      <c r="M14" s="119"/>
      <c r="N14" s="119"/>
      <c r="O14" s="119"/>
      <c r="P14" s="19">
        <v>6</v>
      </c>
      <c r="Q14" s="126" t="s">
        <v>424</v>
      </c>
      <c r="R14" s="137"/>
      <c r="S14" s="137"/>
      <c r="T14" s="127"/>
      <c r="U14" s="137"/>
      <c r="V14" s="31"/>
      <c r="W14" s="31"/>
      <c r="X14" s="19"/>
      <c r="Y14" s="31"/>
      <c r="Z14" s="31"/>
      <c r="AA14" s="19"/>
    </row>
    <row r="15" spans="1:35" ht="27" hidden="1" customHeight="1" x14ac:dyDescent="0.2">
      <c r="A15" s="31"/>
      <c r="B15" s="31"/>
      <c r="C15" s="19"/>
      <c r="D15" s="19"/>
      <c r="E15" s="19"/>
      <c r="F15" s="31"/>
      <c r="G15" s="31"/>
      <c r="H15" s="19"/>
      <c r="I15" s="19"/>
      <c r="J15" s="19"/>
      <c r="K15" s="19"/>
      <c r="L15" s="31"/>
      <c r="M15" s="19"/>
      <c r="N15" s="19"/>
      <c r="O15" s="19"/>
      <c r="P15" s="19">
        <v>7</v>
      </c>
      <c r="Q15" s="126" t="s">
        <v>484</v>
      </c>
      <c r="R15" s="19"/>
      <c r="S15" s="30"/>
      <c r="T15" s="31"/>
      <c r="U15" s="19"/>
      <c r="V15" s="31"/>
      <c r="W15" s="31"/>
      <c r="X15" s="19"/>
      <c r="Y15" s="31"/>
      <c r="Z15" s="31"/>
      <c r="AA15" s="19"/>
    </row>
    <row r="16" spans="1:35" x14ac:dyDescent="0.2">
      <c r="A16" s="146">
        <v>1</v>
      </c>
      <c r="B16" s="147" t="s">
        <v>477</v>
      </c>
      <c r="C16" s="146" t="s">
        <v>496</v>
      </c>
      <c r="D16" s="150" t="s">
        <v>166</v>
      </c>
      <c r="E16" s="142"/>
      <c r="F16" s="146">
        <v>11</v>
      </c>
      <c r="G16" s="147" t="s">
        <v>414</v>
      </c>
      <c r="H16" s="150" t="str">
        <f t="shared" ref="H16:H22" si="2">C16</f>
        <v>position</v>
      </c>
      <c r="I16" s="150" t="str">
        <f t="shared" ref="I16:I22" si="3">D16</f>
        <v>SpecRecord_instance</v>
      </c>
      <c r="J16" s="19"/>
      <c r="K16" s="146">
        <v>11</v>
      </c>
      <c r="L16" s="147" t="s">
        <v>414</v>
      </c>
      <c r="M16" s="150" t="str">
        <f t="shared" ref="M16:M22" si="4">H16</f>
        <v>position</v>
      </c>
      <c r="N16" s="150" t="str">
        <f t="shared" ref="N16:N22" si="5">I16</f>
        <v>SpecRecord_instance</v>
      </c>
      <c r="O16" s="19"/>
      <c r="P16" s="31"/>
      <c r="Q16" s="31"/>
      <c r="R16" s="19"/>
      <c r="S16" s="30"/>
      <c r="T16" s="31"/>
      <c r="U16" s="19"/>
      <c r="V16" s="31"/>
      <c r="W16" s="31"/>
      <c r="X16" s="19"/>
      <c r="Y16" s="31"/>
      <c r="Z16" s="31"/>
      <c r="AA16" s="19"/>
    </row>
    <row r="17" spans="1:27" ht="25.5" x14ac:dyDescent="0.2">
      <c r="A17" s="41">
        <v>3</v>
      </c>
      <c r="B17" s="153" t="s">
        <v>415</v>
      </c>
      <c r="C17" s="154" t="s">
        <v>503</v>
      </c>
      <c r="D17" s="154" t="s">
        <v>519</v>
      </c>
      <c r="E17" s="142"/>
      <c r="F17" s="160">
        <v>12</v>
      </c>
      <c r="G17" s="159" t="s">
        <v>415</v>
      </c>
      <c r="H17" s="154" t="str">
        <f t="shared" si="2"/>
        <v>name</v>
      </c>
      <c r="I17" s="154" t="str">
        <f t="shared" si="3"/>
        <v>Equip_instance, Material_instance</v>
      </c>
      <c r="J17" s="142"/>
      <c r="K17" s="160">
        <v>12</v>
      </c>
      <c r="L17" s="159" t="s">
        <v>415</v>
      </c>
      <c r="M17" s="154" t="str">
        <f t="shared" si="4"/>
        <v>name</v>
      </c>
      <c r="N17" s="154" t="str">
        <f t="shared" si="5"/>
        <v>Equip_instance, Material_instance</v>
      </c>
      <c r="O17" s="142"/>
      <c r="P17" s="31"/>
      <c r="Q17" s="31"/>
      <c r="R17" s="19"/>
      <c r="S17" s="30"/>
      <c r="T17" s="31"/>
      <c r="U17" s="19"/>
      <c r="V17" s="19">
        <v>5</v>
      </c>
      <c r="W17" s="122" t="s">
        <v>461</v>
      </c>
      <c r="X17" s="142" t="s">
        <v>498</v>
      </c>
      <c r="Y17" s="19">
        <v>3</v>
      </c>
      <c r="Z17" s="122" t="s">
        <v>475</v>
      </c>
      <c r="AA17" s="142" t="s">
        <v>498</v>
      </c>
    </row>
    <row r="18" spans="1:27" ht="25.5" x14ac:dyDescent="0.2">
      <c r="A18" s="41">
        <v>4</v>
      </c>
      <c r="B18" s="153" t="s">
        <v>479</v>
      </c>
      <c r="C18" s="41" t="s">
        <v>513</v>
      </c>
      <c r="D18" s="154" t="s">
        <v>519</v>
      </c>
      <c r="E18" s="142"/>
      <c r="F18" s="160">
        <v>13</v>
      </c>
      <c r="G18" s="159" t="s">
        <v>479</v>
      </c>
      <c r="H18" s="41" t="str">
        <f t="shared" si="2"/>
        <v>model</v>
      </c>
      <c r="I18" s="160" t="str">
        <f t="shared" si="3"/>
        <v>Equip_instance, Material_instance</v>
      </c>
      <c r="J18" s="19"/>
      <c r="K18" s="160">
        <v>13</v>
      </c>
      <c r="L18" s="159" t="s">
        <v>479</v>
      </c>
      <c r="M18" s="154" t="str">
        <f t="shared" si="4"/>
        <v>model</v>
      </c>
      <c r="N18" s="154" t="str">
        <f t="shared" si="5"/>
        <v>Equip_instance, Material_instance</v>
      </c>
      <c r="O18" s="119"/>
      <c r="P18" s="31"/>
      <c r="Q18" s="31"/>
      <c r="R18" s="19"/>
      <c r="S18" s="30"/>
      <c r="T18" s="31"/>
      <c r="U18" s="19"/>
      <c r="V18" s="31"/>
      <c r="W18" s="31"/>
      <c r="X18" s="19"/>
      <c r="Y18" s="31"/>
      <c r="Z18" s="31"/>
      <c r="AA18" s="19"/>
    </row>
    <row r="19" spans="1:27" ht="25.5" x14ac:dyDescent="0.2">
      <c r="A19" s="41">
        <v>5</v>
      </c>
      <c r="B19" s="155" t="s">
        <v>416</v>
      </c>
      <c r="C19" s="156" t="s">
        <v>512</v>
      </c>
      <c r="D19" s="154" t="s">
        <v>519</v>
      </c>
      <c r="E19" s="142"/>
      <c r="F19" s="160">
        <v>14</v>
      </c>
      <c r="G19" s="159" t="s">
        <v>416</v>
      </c>
      <c r="H19" s="41" t="str">
        <f t="shared" si="2"/>
        <v>code</v>
      </c>
      <c r="I19" s="160" t="str">
        <f t="shared" si="3"/>
        <v>Equip_instance, Material_instance</v>
      </c>
      <c r="J19" s="19"/>
      <c r="K19" s="160">
        <v>14</v>
      </c>
      <c r="L19" s="159" t="s">
        <v>416</v>
      </c>
      <c r="M19" s="154" t="str">
        <f t="shared" si="4"/>
        <v>code</v>
      </c>
      <c r="N19" s="154" t="str">
        <f t="shared" si="5"/>
        <v>Equip_instance, Material_instance</v>
      </c>
      <c r="O19" s="119"/>
      <c r="P19" s="31"/>
      <c r="Q19" s="31"/>
      <c r="R19" s="19"/>
      <c r="S19" s="30"/>
      <c r="T19" s="31"/>
      <c r="U19" s="19"/>
      <c r="V19" s="31"/>
      <c r="W19" s="31"/>
      <c r="X19" s="19"/>
      <c r="Y19" s="31"/>
      <c r="Z19" s="31"/>
      <c r="AA19" s="19"/>
    </row>
    <row r="20" spans="1:27" ht="45" customHeight="1" x14ac:dyDescent="0.2">
      <c r="A20" s="146">
        <v>6</v>
      </c>
      <c r="B20" s="147" t="s">
        <v>417</v>
      </c>
      <c r="C20" s="150" t="s">
        <v>511</v>
      </c>
      <c r="D20" s="150" t="s">
        <v>166</v>
      </c>
      <c r="E20" s="142"/>
      <c r="F20" s="146">
        <v>15</v>
      </c>
      <c r="G20" s="147" t="s">
        <v>417</v>
      </c>
      <c r="H20" s="150" t="str">
        <f t="shared" si="2"/>
        <v xml:space="preserve">producer </v>
      </c>
      <c r="I20" s="150" t="str">
        <f t="shared" si="3"/>
        <v>SpecRecord_instance</v>
      </c>
      <c r="J20" s="19"/>
      <c r="K20" s="146">
        <v>15</v>
      </c>
      <c r="L20" s="147" t="s">
        <v>417</v>
      </c>
      <c r="M20" s="150" t="str">
        <f t="shared" si="4"/>
        <v xml:space="preserve">producer </v>
      </c>
      <c r="N20" s="150" t="str">
        <f t="shared" si="5"/>
        <v>SpecRecord_instance</v>
      </c>
      <c r="O20" s="119"/>
      <c r="P20" s="31"/>
      <c r="Q20" s="31"/>
      <c r="R20" s="19"/>
      <c r="S20" s="30"/>
      <c r="T20" s="31"/>
      <c r="U20" s="19"/>
      <c r="V20" s="31"/>
      <c r="W20" s="31"/>
      <c r="X20" s="19"/>
      <c r="Y20" s="31"/>
      <c r="Z20" s="31"/>
      <c r="AA20" s="19"/>
    </row>
    <row r="21" spans="1:27" ht="25.5" x14ac:dyDescent="0.2">
      <c r="A21" s="41">
        <v>7</v>
      </c>
      <c r="B21" s="153" t="s">
        <v>481</v>
      </c>
      <c r="C21" s="154" t="s">
        <v>510</v>
      </c>
      <c r="D21" s="154" t="s">
        <v>519</v>
      </c>
      <c r="E21" s="142"/>
      <c r="F21" s="160">
        <v>16</v>
      </c>
      <c r="G21" s="159" t="s">
        <v>418</v>
      </c>
      <c r="H21" s="41" t="str">
        <f t="shared" si="2"/>
        <v>unit</v>
      </c>
      <c r="I21" s="160" t="str">
        <f t="shared" si="3"/>
        <v>Equip_instance, Material_instance</v>
      </c>
      <c r="J21" s="19"/>
      <c r="K21" s="160">
        <v>16</v>
      </c>
      <c r="L21" s="159" t="s">
        <v>418</v>
      </c>
      <c r="M21" s="154" t="str">
        <f t="shared" si="4"/>
        <v>unit</v>
      </c>
      <c r="N21" s="154" t="str">
        <f t="shared" si="5"/>
        <v>Equip_instance, Material_instance</v>
      </c>
      <c r="O21" s="119"/>
      <c r="P21" s="19">
        <v>8</v>
      </c>
      <c r="Q21" s="126" t="s">
        <v>430</v>
      </c>
      <c r="R21" s="19"/>
      <c r="S21" s="30"/>
      <c r="T21" s="135" t="s">
        <v>430</v>
      </c>
      <c r="U21" s="19"/>
      <c r="V21" s="31"/>
      <c r="W21" s="31"/>
      <c r="X21" s="19"/>
      <c r="Y21" s="31"/>
      <c r="Z21" s="31"/>
      <c r="AA21" s="19"/>
    </row>
    <row r="22" spans="1:27" ht="25.5" x14ac:dyDescent="0.2">
      <c r="A22" s="146">
        <v>8</v>
      </c>
      <c r="B22" s="148" t="s">
        <v>478</v>
      </c>
      <c r="C22" s="149" t="s">
        <v>509</v>
      </c>
      <c r="D22" s="149" t="s">
        <v>166</v>
      </c>
      <c r="E22" s="143"/>
      <c r="F22" s="146">
        <v>17</v>
      </c>
      <c r="G22" s="147" t="s">
        <v>427</v>
      </c>
      <c r="H22" s="150" t="str">
        <f t="shared" si="2"/>
        <v>volume</v>
      </c>
      <c r="I22" s="150" t="str">
        <f t="shared" si="3"/>
        <v>SpecRecord_instance</v>
      </c>
      <c r="J22" s="19"/>
      <c r="K22" s="146">
        <v>17</v>
      </c>
      <c r="L22" s="147" t="s">
        <v>483</v>
      </c>
      <c r="M22" s="150" t="str">
        <f t="shared" si="4"/>
        <v>volume</v>
      </c>
      <c r="N22" s="150" t="str">
        <f t="shared" si="5"/>
        <v>SpecRecord_instance</v>
      </c>
      <c r="O22" s="119"/>
      <c r="P22" s="19">
        <v>9</v>
      </c>
      <c r="Q22" s="126" t="s">
        <v>432</v>
      </c>
      <c r="R22" s="19"/>
      <c r="S22" s="30"/>
      <c r="T22" s="129" t="s">
        <v>492</v>
      </c>
      <c r="U22" s="19"/>
      <c r="V22" s="31"/>
      <c r="W22" s="31"/>
      <c r="X22" s="19"/>
      <c r="Y22" s="31"/>
      <c r="Z22" s="31"/>
      <c r="AA22" s="19"/>
    </row>
    <row r="23" spans="1:27" hidden="1" x14ac:dyDescent="0.2">
      <c r="A23" s="19"/>
      <c r="B23" s="132"/>
      <c r="C23" s="143"/>
      <c r="D23" s="143"/>
      <c r="E23" s="143"/>
      <c r="F23" s="119"/>
      <c r="G23" s="122"/>
      <c r="H23" s="19"/>
      <c r="I23" s="19"/>
      <c r="J23" s="19"/>
      <c r="K23" s="19">
        <v>18</v>
      </c>
      <c r="L23" s="122" t="s">
        <v>482</v>
      </c>
      <c r="M23" s="119"/>
      <c r="N23" s="119"/>
      <c r="O23" s="119"/>
      <c r="P23" s="19"/>
      <c r="Q23" s="126"/>
      <c r="R23" s="19"/>
      <c r="S23" s="30"/>
      <c r="T23" s="31"/>
      <c r="U23" s="19"/>
      <c r="V23" s="31"/>
      <c r="W23" s="31"/>
      <c r="X23" s="19"/>
      <c r="Y23" s="31"/>
      <c r="Z23" s="31"/>
      <c r="AA23" s="19"/>
    </row>
    <row r="24" spans="1:27" hidden="1" x14ac:dyDescent="0.2">
      <c r="A24" s="19"/>
      <c r="B24" s="132"/>
      <c r="C24" s="143"/>
      <c r="D24" s="143"/>
      <c r="E24" s="143"/>
      <c r="F24" s="119"/>
      <c r="G24" s="122"/>
      <c r="H24" s="19"/>
      <c r="I24" s="19"/>
      <c r="J24" s="19"/>
      <c r="K24" s="19"/>
      <c r="L24" s="122"/>
      <c r="M24" s="119"/>
      <c r="N24" s="119"/>
      <c r="O24" s="119"/>
      <c r="P24" s="19"/>
      <c r="Q24" s="126"/>
      <c r="R24" s="19"/>
      <c r="S24" s="30"/>
      <c r="T24" s="22"/>
      <c r="U24" s="19"/>
      <c r="V24" s="22"/>
      <c r="W24" s="22"/>
      <c r="X24" s="19"/>
      <c r="Y24" s="22"/>
      <c r="Z24" s="22"/>
      <c r="AA24" s="19"/>
    </row>
    <row r="25" spans="1:27" hidden="1" x14ac:dyDescent="0.2">
      <c r="A25" s="19"/>
      <c r="B25" s="132"/>
      <c r="C25" s="143"/>
      <c r="D25" s="143"/>
      <c r="E25" s="143"/>
      <c r="F25" s="119"/>
      <c r="G25" s="122"/>
      <c r="H25" s="19"/>
      <c r="I25" s="19"/>
      <c r="J25" s="19"/>
      <c r="K25" s="19"/>
      <c r="L25" s="122"/>
      <c r="M25" s="119"/>
      <c r="N25" s="119"/>
      <c r="O25" s="119"/>
      <c r="P25" s="22"/>
      <c r="Q25" s="22"/>
      <c r="R25" s="19"/>
      <c r="S25" s="30"/>
      <c r="T25" s="22"/>
      <c r="U25" s="19"/>
      <c r="V25" s="22"/>
      <c r="W25" s="22"/>
      <c r="X25" s="19"/>
      <c r="Y25" s="22"/>
      <c r="Z25" s="22"/>
      <c r="AA25" s="19"/>
    </row>
    <row r="26" spans="1:27" hidden="1" x14ac:dyDescent="0.2">
      <c r="A26" s="19"/>
      <c r="B26" s="132"/>
      <c r="C26" s="143"/>
      <c r="D26" s="143"/>
      <c r="E26" s="143"/>
      <c r="F26" s="119"/>
      <c r="G26" s="122"/>
      <c r="H26" s="19"/>
      <c r="I26" s="19"/>
      <c r="J26" s="19"/>
      <c r="K26" s="19"/>
      <c r="L26" s="122"/>
      <c r="M26" s="119"/>
      <c r="N26" s="119"/>
      <c r="O26" s="119"/>
      <c r="P26" s="22"/>
      <c r="Q26" s="22"/>
      <c r="R26" s="19"/>
      <c r="S26" s="30"/>
      <c r="T26" s="22"/>
      <c r="U26" s="19"/>
      <c r="V26" s="22"/>
      <c r="W26" s="22"/>
      <c r="X26" s="19"/>
      <c r="Y26" s="22"/>
      <c r="Z26" s="22"/>
      <c r="AA26" s="19"/>
    </row>
    <row r="27" spans="1:27" hidden="1" x14ac:dyDescent="0.2">
      <c r="A27" s="19"/>
      <c r="B27" s="132"/>
      <c r="C27" s="143"/>
      <c r="D27" s="143"/>
      <c r="E27" s="143"/>
      <c r="F27" s="119"/>
      <c r="G27" s="122"/>
      <c r="H27" s="19"/>
      <c r="I27" s="19"/>
      <c r="J27" s="19"/>
      <c r="K27" s="19"/>
      <c r="L27" s="122"/>
      <c r="M27" s="119"/>
      <c r="N27" s="119"/>
      <c r="O27" s="119"/>
      <c r="P27" s="22"/>
      <c r="Q27" s="22"/>
      <c r="R27" s="19"/>
      <c r="S27" s="30"/>
      <c r="T27" s="22"/>
      <c r="U27" s="19"/>
      <c r="V27" s="22"/>
      <c r="W27" s="22"/>
      <c r="X27" s="19"/>
      <c r="Y27" s="22"/>
      <c r="Z27" s="22"/>
      <c r="AA27" s="19"/>
    </row>
    <row r="28" spans="1:27" hidden="1" x14ac:dyDescent="0.2">
      <c r="A28" s="19"/>
      <c r="B28" s="132"/>
      <c r="C28" s="143"/>
      <c r="D28" s="143"/>
      <c r="E28" s="143"/>
      <c r="F28" s="119"/>
      <c r="G28" s="122"/>
      <c r="H28" s="19"/>
      <c r="I28" s="19"/>
      <c r="J28" s="19"/>
      <c r="K28" s="19"/>
      <c r="L28" s="122"/>
      <c r="M28" s="119"/>
      <c r="N28" s="119"/>
      <c r="O28" s="119"/>
      <c r="P28" s="22"/>
      <c r="Q28" s="22"/>
      <c r="R28" s="19"/>
      <c r="S28" s="30"/>
      <c r="T28" s="22"/>
      <c r="U28" s="19"/>
      <c r="V28" s="22"/>
      <c r="W28" s="22"/>
      <c r="X28" s="19"/>
      <c r="Y28" s="22"/>
      <c r="Z28" s="22"/>
      <c r="AA28" s="19"/>
    </row>
    <row r="29" spans="1:27" hidden="1" x14ac:dyDescent="0.2">
      <c r="A29" s="19"/>
      <c r="B29" s="132"/>
      <c r="C29" s="143"/>
      <c r="D29" s="143"/>
      <c r="E29" s="143"/>
      <c r="F29" s="119"/>
      <c r="G29" s="122"/>
      <c r="H29" s="19"/>
      <c r="I29" s="19"/>
      <c r="J29" s="19"/>
      <c r="K29" s="19"/>
      <c r="L29" s="122"/>
      <c r="M29" s="119"/>
      <c r="N29" s="119"/>
      <c r="O29" s="119"/>
      <c r="P29" s="22"/>
      <c r="Q29" s="22"/>
      <c r="R29" s="19"/>
      <c r="S29" s="30"/>
      <c r="T29" s="22"/>
      <c r="U29" s="19"/>
      <c r="V29" s="22"/>
      <c r="W29" s="22"/>
      <c r="X29" s="19"/>
      <c r="Y29" s="22"/>
      <c r="Z29" s="22"/>
      <c r="AA29" s="19"/>
    </row>
    <row r="30" spans="1:27" hidden="1" x14ac:dyDescent="0.2">
      <c r="A30" s="19"/>
      <c r="B30" s="132"/>
      <c r="C30" s="143"/>
      <c r="D30" s="143"/>
      <c r="E30" s="143"/>
      <c r="F30" s="119"/>
      <c r="G30" s="122"/>
      <c r="H30" s="19"/>
      <c r="I30" s="19"/>
      <c r="J30" s="19"/>
      <c r="K30" s="19"/>
      <c r="L30" s="122"/>
      <c r="M30" s="119"/>
      <c r="N30" s="119"/>
      <c r="O30" s="119"/>
      <c r="P30" s="22"/>
      <c r="Q30" s="22"/>
      <c r="R30" s="19"/>
      <c r="S30" s="30"/>
      <c r="T30" s="22"/>
      <c r="U30" s="19"/>
      <c r="V30" s="22"/>
      <c r="W30" s="22"/>
      <c r="X30" s="19"/>
      <c r="Y30" s="22"/>
      <c r="Z30" s="22"/>
      <c r="AA30" s="19"/>
    </row>
    <row r="31" spans="1:27" hidden="1" x14ac:dyDescent="0.2">
      <c r="A31" s="19"/>
      <c r="B31" s="132"/>
      <c r="C31" s="143"/>
      <c r="D31" s="143"/>
      <c r="E31" s="143"/>
      <c r="F31" s="119"/>
      <c r="G31" s="122"/>
      <c r="H31" s="19"/>
      <c r="I31" s="19"/>
      <c r="J31" s="19"/>
      <c r="K31" s="19"/>
      <c r="L31" s="122"/>
      <c r="M31" s="119"/>
      <c r="N31" s="119"/>
      <c r="O31" s="119"/>
      <c r="P31" s="22"/>
      <c r="Q31" s="22"/>
      <c r="R31" s="19"/>
      <c r="S31" s="30"/>
      <c r="T31" s="22"/>
      <c r="U31" s="19"/>
      <c r="V31" s="22"/>
      <c r="W31" s="22"/>
      <c r="X31" s="19"/>
      <c r="Y31" s="22"/>
      <c r="Z31" s="22"/>
      <c r="AA31" s="19"/>
    </row>
    <row r="32" spans="1:27" hidden="1" x14ac:dyDescent="0.2">
      <c r="A32" s="22"/>
      <c r="B32" s="22"/>
      <c r="C32" s="19"/>
      <c r="D32" s="19"/>
      <c r="E32" s="19"/>
      <c r="F32" s="22"/>
      <c r="G32" s="22"/>
      <c r="H32" s="19"/>
      <c r="I32" s="19"/>
      <c r="J32" s="19"/>
      <c r="K32" s="19"/>
      <c r="L32" s="22"/>
      <c r="M32" s="119"/>
      <c r="N32" s="119"/>
      <c r="O32" s="119"/>
      <c r="P32" s="22"/>
      <c r="Q32" s="22"/>
      <c r="R32" s="137"/>
      <c r="S32" s="137"/>
      <c r="T32" s="127"/>
      <c r="U32" s="137"/>
      <c r="V32" s="22"/>
      <c r="W32" s="22"/>
      <c r="X32" s="19"/>
      <c r="Y32" s="22"/>
      <c r="Z32" s="22"/>
      <c r="AA32" s="19"/>
    </row>
    <row r="33" spans="1:27" ht="25.5" x14ac:dyDescent="0.2">
      <c r="A33" s="41">
        <v>9</v>
      </c>
      <c r="B33" s="153" t="s">
        <v>419</v>
      </c>
      <c r="C33" s="154" t="s">
        <v>508</v>
      </c>
      <c r="D33" s="154" t="s">
        <v>519</v>
      </c>
      <c r="E33" s="142"/>
      <c r="F33" s="160">
        <v>18</v>
      </c>
      <c r="G33" s="159" t="s">
        <v>419</v>
      </c>
      <c r="H33" s="41" t="str">
        <f t="shared" ref="H33:I33" si="6">C33</f>
        <v>mass</v>
      </c>
      <c r="I33" s="160" t="str">
        <f t="shared" si="6"/>
        <v>Equip_instance, Material_instance</v>
      </c>
      <c r="J33" s="19"/>
      <c r="K33" s="160">
        <v>19</v>
      </c>
      <c r="L33" s="159" t="s">
        <v>419</v>
      </c>
      <c r="M33" s="154" t="str">
        <f t="shared" ref="M33:N33" si="7">H33</f>
        <v>mass</v>
      </c>
      <c r="N33" s="154" t="str">
        <f t="shared" si="7"/>
        <v>Equip_instance, Material_instance</v>
      </c>
      <c r="O33" s="119"/>
      <c r="P33" s="19"/>
      <c r="Q33" s="22"/>
      <c r="R33" s="19"/>
      <c r="S33" s="30"/>
      <c r="T33" s="22"/>
      <c r="U33" s="19"/>
      <c r="V33" s="22"/>
      <c r="W33" s="22"/>
      <c r="X33" s="19"/>
      <c r="Y33" s="22"/>
      <c r="Z33" s="22"/>
      <c r="AA33" s="19"/>
    </row>
    <row r="34" spans="1:27" hidden="1" x14ac:dyDescent="0.2">
      <c r="A34" s="22"/>
      <c r="B34" s="22"/>
      <c r="C34" s="19"/>
      <c r="D34" s="19"/>
      <c r="E34" s="19"/>
      <c r="F34" s="22"/>
      <c r="G34" s="22"/>
      <c r="H34" s="19"/>
      <c r="I34" s="19"/>
      <c r="J34" s="19"/>
      <c r="K34" s="19"/>
      <c r="L34" s="22"/>
      <c r="M34" s="119"/>
      <c r="N34" s="119"/>
      <c r="O34" s="119"/>
      <c r="P34" s="22"/>
      <c r="Q34" s="22"/>
      <c r="R34" s="19"/>
      <c r="S34" s="30"/>
      <c r="T34" s="22"/>
      <c r="U34" s="19"/>
      <c r="V34" s="22"/>
      <c r="W34" s="22"/>
      <c r="X34" s="19"/>
      <c r="Y34" s="22"/>
      <c r="Z34" s="22"/>
      <c r="AA34" s="19"/>
    </row>
    <row r="35" spans="1:27" hidden="1" x14ac:dyDescent="0.2">
      <c r="A35" s="22"/>
      <c r="B35" s="22"/>
      <c r="C35" s="19"/>
      <c r="D35" s="19"/>
      <c r="E35" s="19"/>
      <c r="F35" s="22"/>
      <c r="G35" s="22"/>
      <c r="H35" s="19"/>
      <c r="I35" s="19"/>
      <c r="J35" s="19"/>
      <c r="K35" s="19"/>
      <c r="L35" s="22"/>
      <c r="M35" s="119"/>
      <c r="N35" s="119"/>
      <c r="O35" s="119"/>
      <c r="P35" s="22"/>
      <c r="Q35" s="22"/>
      <c r="R35" s="19"/>
      <c r="S35" s="30"/>
      <c r="T35" s="22"/>
      <c r="U35" s="19"/>
      <c r="V35" s="22"/>
      <c r="W35" s="22"/>
      <c r="X35" s="19"/>
      <c r="Y35" s="22"/>
      <c r="Z35" s="22"/>
      <c r="AA35" s="19"/>
    </row>
    <row r="36" spans="1:27" x14ac:dyDescent="0.2">
      <c r="A36" s="146">
        <v>10</v>
      </c>
      <c r="B36" s="147" t="s">
        <v>431</v>
      </c>
      <c r="C36" s="146" t="s">
        <v>499</v>
      </c>
      <c r="D36" s="146" t="s">
        <v>166</v>
      </c>
      <c r="E36" s="19"/>
      <c r="F36" s="146">
        <v>19</v>
      </c>
      <c r="G36" s="147" t="s">
        <v>420</v>
      </c>
      <c r="H36" s="150" t="str">
        <f t="shared" ref="H36:I36" si="8">C36</f>
        <v>comment</v>
      </c>
      <c r="I36" s="150" t="str">
        <f t="shared" si="8"/>
        <v>SpecRecord_instance</v>
      </c>
      <c r="J36" s="19"/>
      <c r="K36" s="146">
        <v>20</v>
      </c>
      <c r="L36" s="147" t="s">
        <v>420</v>
      </c>
      <c r="M36" s="150" t="str">
        <f t="shared" ref="M36:N36" si="9">H36</f>
        <v>comment</v>
      </c>
      <c r="N36" s="150" t="str">
        <f t="shared" si="9"/>
        <v>SpecRecord_instance</v>
      </c>
      <c r="O36" s="119"/>
      <c r="P36" s="22"/>
      <c r="Q36" s="22"/>
      <c r="R36" s="19"/>
      <c r="S36" s="30"/>
      <c r="T36" s="22"/>
      <c r="U36" s="19"/>
      <c r="V36" s="119">
        <v>8</v>
      </c>
      <c r="W36" s="122" t="s">
        <v>431</v>
      </c>
      <c r="X36" s="19"/>
      <c r="Y36" s="19">
        <v>5</v>
      </c>
      <c r="Z36" s="27" t="s">
        <v>431</v>
      </c>
      <c r="AA36" s="19"/>
    </row>
    <row r="37" spans="1:27" ht="25.5" hidden="1" x14ac:dyDescent="0.2">
      <c r="A37" s="22"/>
      <c r="B37" s="22"/>
      <c r="C37" s="19"/>
      <c r="D37" s="19"/>
      <c r="E37" s="19"/>
      <c r="F37" s="22"/>
      <c r="G37" s="22"/>
      <c r="H37" s="19"/>
      <c r="I37" s="19"/>
      <c r="J37" s="19"/>
      <c r="K37" s="19">
        <v>21</v>
      </c>
      <c r="L37" s="122" t="s">
        <v>425</v>
      </c>
      <c r="M37" s="19"/>
      <c r="N37" s="19"/>
      <c r="O37" s="19"/>
      <c r="P37" s="22"/>
      <c r="Q37" s="22"/>
      <c r="R37" s="137"/>
      <c r="S37" s="137"/>
      <c r="T37" s="127"/>
      <c r="U37" s="137"/>
      <c r="V37" s="22"/>
      <c r="W37" s="22"/>
      <c r="X37" s="119"/>
      <c r="Y37" s="22"/>
      <c r="Z37" s="22"/>
      <c r="AA37" s="19"/>
    </row>
    <row r="38" spans="1:27" hidden="1" x14ac:dyDescent="0.2">
      <c r="A38" s="22"/>
      <c r="B38" s="22"/>
      <c r="C38" s="19"/>
      <c r="D38" s="19"/>
      <c r="E38" s="19"/>
      <c r="F38" s="22"/>
      <c r="G38" s="22"/>
      <c r="H38" s="19"/>
      <c r="I38" s="19"/>
      <c r="J38" s="19"/>
      <c r="K38" s="19">
        <v>22</v>
      </c>
      <c r="L38" s="122" t="s">
        <v>426</v>
      </c>
      <c r="M38" s="19"/>
      <c r="N38" s="19"/>
      <c r="O38" s="19"/>
      <c r="P38" s="22"/>
      <c r="Q38" s="22"/>
      <c r="R38" s="137"/>
      <c r="S38" s="137"/>
      <c r="T38" s="127"/>
      <c r="U38" s="137"/>
      <c r="V38" s="22"/>
      <c r="W38" s="22"/>
      <c r="X38" s="19"/>
      <c r="Y38" s="22"/>
      <c r="Z38" s="22"/>
      <c r="AA38" s="19"/>
    </row>
    <row r="39" spans="1:27" hidden="1" x14ac:dyDescent="0.2">
      <c r="A39" s="22"/>
      <c r="B39" s="22"/>
      <c r="C39" s="19"/>
      <c r="D39" s="19"/>
      <c r="E39" s="19"/>
      <c r="F39" s="22"/>
      <c r="G39" s="22"/>
      <c r="H39" s="19"/>
      <c r="I39" s="19"/>
      <c r="J39" s="19"/>
      <c r="K39" s="19"/>
      <c r="L39" s="22"/>
      <c r="M39" s="19"/>
      <c r="N39" s="19"/>
      <c r="O39" s="19"/>
      <c r="P39" s="19">
        <v>18</v>
      </c>
      <c r="Q39" s="126" t="s">
        <v>431</v>
      </c>
      <c r="R39" s="137"/>
      <c r="S39" s="137"/>
      <c r="T39" s="127"/>
      <c r="U39" s="137"/>
      <c r="V39" s="22"/>
      <c r="W39" s="22"/>
      <c r="X39" s="19"/>
      <c r="Y39" s="22"/>
      <c r="Z39" s="22"/>
      <c r="AA39" s="19"/>
    </row>
    <row r="40" spans="1:27" hidden="1" x14ac:dyDescent="0.2">
      <c r="A40" s="22"/>
      <c r="B40" s="22"/>
      <c r="C40" s="19"/>
      <c r="D40" s="19"/>
      <c r="E40" s="19"/>
      <c r="F40" s="22"/>
      <c r="G40" s="22"/>
      <c r="H40" s="19"/>
      <c r="I40" s="19"/>
      <c r="J40" s="19"/>
      <c r="K40" s="19"/>
      <c r="L40" s="22"/>
      <c r="M40" s="19"/>
      <c r="N40" s="19"/>
      <c r="O40" s="19"/>
      <c r="P40" s="19">
        <v>10</v>
      </c>
      <c r="Q40" s="126" t="s">
        <v>490</v>
      </c>
      <c r="R40" s="137"/>
      <c r="S40" s="137"/>
      <c r="T40" s="127"/>
      <c r="U40" s="137"/>
      <c r="V40" s="22"/>
      <c r="W40" s="22"/>
      <c r="X40" s="19"/>
      <c r="Y40" s="22"/>
      <c r="Z40" s="22"/>
      <c r="AA40" s="19"/>
    </row>
    <row r="41" spans="1:27" hidden="1" x14ac:dyDescent="0.2">
      <c r="A41" s="22"/>
      <c r="B41" s="22"/>
      <c r="C41" s="19"/>
      <c r="D41" s="19"/>
      <c r="E41" s="19"/>
      <c r="F41" s="22"/>
      <c r="G41" s="22"/>
      <c r="H41" s="19"/>
      <c r="I41" s="19"/>
      <c r="J41" s="19"/>
      <c r="K41" s="19"/>
      <c r="L41" s="22"/>
      <c r="M41" s="19"/>
      <c r="N41" s="19"/>
      <c r="O41" s="19"/>
      <c r="P41" s="19">
        <v>11</v>
      </c>
      <c r="Q41" s="126" t="s">
        <v>489</v>
      </c>
      <c r="R41" s="137"/>
      <c r="S41" s="137"/>
      <c r="T41" s="127"/>
      <c r="U41" s="137"/>
      <c r="V41" s="22"/>
      <c r="W41" s="22"/>
      <c r="X41" s="19"/>
      <c r="Y41" s="22"/>
      <c r="Z41" s="22"/>
      <c r="AA41" s="19"/>
    </row>
    <row r="42" spans="1:27" ht="25.5" hidden="1" x14ac:dyDescent="0.2">
      <c r="A42" s="22"/>
      <c r="B42" s="22"/>
      <c r="C42" s="19"/>
      <c r="D42" s="19"/>
      <c r="E42" s="19"/>
      <c r="F42" s="22"/>
      <c r="G42" s="22"/>
      <c r="H42" s="19"/>
      <c r="I42" s="19"/>
      <c r="J42" s="19"/>
      <c r="K42" s="19"/>
      <c r="L42" s="22"/>
      <c r="M42" s="19"/>
      <c r="N42" s="19"/>
      <c r="O42" s="19"/>
      <c r="P42" s="19">
        <v>12</v>
      </c>
      <c r="Q42" s="126" t="s">
        <v>487</v>
      </c>
      <c r="R42" s="137"/>
      <c r="S42" s="137"/>
      <c r="T42" s="127"/>
      <c r="U42" s="137"/>
      <c r="V42" s="22"/>
      <c r="W42" s="22"/>
      <c r="X42" s="19"/>
      <c r="Y42" s="22"/>
      <c r="Z42" s="22"/>
      <c r="AA42" s="19"/>
    </row>
    <row r="43" spans="1:27" ht="25.5" hidden="1" x14ac:dyDescent="0.2">
      <c r="A43" s="22"/>
      <c r="B43" s="22"/>
      <c r="C43" s="19"/>
      <c r="D43" s="19"/>
      <c r="E43" s="19"/>
      <c r="F43" s="22"/>
      <c r="G43" s="22"/>
      <c r="H43" s="19"/>
      <c r="I43" s="19"/>
      <c r="J43" s="19"/>
      <c r="K43" s="19"/>
      <c r="L43" s="22"/>
      <c r="M43" s="19"/>
      <c r="N43" s="19"/>
      <c r="O43" s="19"/>
      <c r="P43" s="19">
        <v>13</v>
      </c>
      <c r="Q43" s="126" t="s">
        <v>488</v>
      </c>
      <c r="R43" s="137"/>
      <c r="S43" s="137"/>
      <c r="T43" s="127"/>
      <c r="U43" s="137"/>
      <c r="V43" s="22"/>
      <c r="W43" s="22"/>
      <c r="X43" s="19"/>
      <c r="Y43" s="22"/>
      <c r="Z43" s="22"/>
      <c r="AA43" s="19"/>
    </row>
    <row r="44" spans="1:27" hidden="1" x14ac:dyDescent="0.2">
      <c r="A44" s="22"/>
      <c r="B44" s="22"/>
      <c r="C44" s="19"/>
      <c r="D44" s="19"/>
      <c r="E44" s="19"/>
      <c r="F44" s="22"/>
      <c r="G44" s="22"/>
      <c r="H44" s="19"/>
      <c r="I44" s="19"/>
      <c r="J44" s="19"/>
      <c r="K44" s="19"/>
      <c r="L44" s="22"/>
      <c r="M44" s="19"/>
      <c r="N44" s="19"/>
      <c r="O44" s="19"/>
      <c r="P44" s="19">
        <v>14</v>
      </c>
      <c r="Q44" s="126" t="s">
        <v>433</v>
      </c>
      <c r="R44" s="137"/>
      <c r="S44" s="137"/>
      <c r="T44" s="127"/>
      <c r="U44" s="137"/>
      <c r="V44" s="22"/>
      <c r="W44" s="22"/>
      <c r="X44" s="19"/>
      <c r="Y44" s="22"/>
      <c r="Z44" s="22"/>
      <c r="AA44" s="19"/>
    </row>
    <row r="45" spans="1:27" ht="38.25" hidden="1" x14ac:dyDescent="0.2">
      <c r="A45" s="22"/>
      <c r="B45" s="22"/>
      <c r="C45" s="19"/>
      <c r="D45" s="19"/>
      <c r="E45" s="19"/>
      <c r="F45" s="22"/>
      <c r="G45" s="22"/>
      <c r="H45" s="19"/>
      <c r="I45" s="19"/>
      <c r="J45" s="19"/>
      <c r="K45" s="19"/>
      <c r="L45" s="22"/>
      <c r="M45" s="19"/>
      <c r="N45" s="19"/>
      <c r="O45" s="19"/>
      <c r="P45" s="19">
        <v>15</v>
      </c>
      <c r="Q45" s="126" t="s">
        <v>486</v>
      </c>
      <c r="R45" s="19"/>
      <c r="S45" s="30"/>
      <c r="T45" s="22"/>
      <c r="U45" s="19"/>
      <c r="V45" s="22"/>
      <c r="W45" s="22"/>
      <c r="X45" s="19"/>
      <c r="Y45" s="22"/>
      <c r="Z45" s="22"/>
      <c r="AA45" s="19"/>
    </row>
    <row r="46" spans="1:27" ht="25.5" hidden="1" x14ac:dyDescent="0.2">
      <c r="A46" s="22"/>
      <c r="B46" s="22"/>
      <c r="C46" s="19"/>
      <c r="D46" s="19"/>
      <c r="E46" s="19"/>
      <c r="F46" s="22"/>
      <c r="G46" s="22"/>
      <c r="H46" s="19"/>
      <c r="I46" s="19"/>
      <c r="J46" s="19"/>
      <c r="K46" s="19"/>
      <c r="L46" s="22"/>
      <c r="M46" s="19"/>
      <c r="N46" s="19"/>
      <c r="O46" s="19"/>
      <c r="P46" s="19">
        <v>16</v>
      </c>
      <c r="Q46" s="126" t="s">
        <v>434</v>
      </c>
      <c r="R46" s="19"/>
      <c r="S46" s="30"/>
      <c r="T46" s="22"/>
      <c r="U46" s="19"/>
      <c r="V46" s="22"/>
      <c r="W46" s="22"/>
      <c r="X46" s="19"/>
      <c r="Y46" s="22"/>
      <c r="Z46" s="22"/>
      <c r="AA46" s="19"/>
    </row>
    <row r="47" spans="1:27" hidden="1" x14ac:dyDescent="0.2">
      <c r="A47" s="22"/>
      <c r="B47" s="22"/>
      <c r="C47" s="19"/>
      <c r="D47" s="19"/>
      <c r="E47" s="19"/>
      <c r="F47" s="22"/>
      <c r="G47" s="22"/>
      <c r="H47" s="19"/>
      <c r="I47" s="19"/>
      <c r="J47" s="19"/>
      <c r="K47" s="19"/>
      <c r="L47" s="22"/>
      <c r="M47" s="19"/>
      <c r="N47" s="19"/>
      <c r="O47" s="19"/>
      <c r="P47" s="19">
        <v>17</v>
      </c>
      <c r="Q47" s="126" t="s">
        <v>485</v>
      </c>
      <c r="R47" s="19"/>
      <c r="S47" s="30"/>
      <c r="T47" s="22"/>
      <c r="U47" s="19"/>
      <c r="V47" s="22"/>
      <c r="W47" s="22"/>
      <c r="X47" s="19"/>
      <c r="Y47" s="22"/>
      <c r="Z47" s="22"/>
      <c r="AA47" s="19"/>
    </row>
    <row r="48" spans="1:27" ht="25.5" hidden="1" x14ac:dyDescent="0.2">
      <c r="A48" s="22"/>
      <c r="B48" s="22"/>
      <c r="C48" s="19"/>
      <c r="D48" s="19"/>
      <c r="E48" s="19"/>
      <c r="F48" s="22"/>
      <c r="G48" s="22"/>
      <c r="H48" s="19"/>
      <c r="I48" s="19"/>
      <c r="J48" s="19"/>
      <c r="K48" s="19"/>
      <c r="L48" s="22"/>
      <c r="M48" s="19"/>
      <c r="N48" s="19"/>
      <c r="O48" s="19"/>
      <c r="P48" s="22"/>
      <c r="Q48" s="22"/>
      <c r="R48" s="19"/>
      <c r="S48" s="30"/>
      <c r="T48" s="22"/>
      <c r="U48" s="19"/>
      <c r="V48" s="19">
        <v>2</v>
      </c>
      <c r="W48" s="122" t="s">
        <v>458</v>
      </c>
      <c r="X48" s="19"/>
      <c r="Y48" s="22"/>
      <c r="Z48" s="22"/>
      <c r="AA48" s="19"/>
    </row>
    <row r="49" spans="1:27" hidden="1" x14ac:dyDescent="0.2">
      <c r="C49" s="19"/>
      <c r="D49" s="19"/>
      <c r="E49" s="19"/>
      <c r="F49" s="22"/>
      <c r="G49" s="22"/>
      <c r="H49" s="19"/>
      <c r="I49" s="19"/>
      <c r="J49" s="19"/>
      <c r="K49" s="19"/>
      <c r="L49" s="22"/>
      <c r="M49" s="19"/>
      <c r="N49" s="19"/>
      <c r="O49" s="19"/>
      <c r="P49" s="22"/>
      <c r="Q49" s="22"/>
      <c r="R49" s="19"/>
      <c r="S49" s="30"/>
      <c r="T49" s="22"/>
      <c r="U49" s="19"/>
      <c r="V49" s="19">
        <v>3</v>
      </c>
      <c r="W49" s="22" t="s">
        <v>456</v>
      </c>
      <c r="X49" s="19"/>
      <c r="Y49" s="22"/>
      <c r="Z49" s="22"/>
      <c r="AA49" s="19"/>
    </row>
    <row r="50" spans="1:27" hidden="1" x14ac:dyDescent="0.2">
      <c r="A50" s="22"/>
      <c r="B50" s="22"/>
      <c r="C50" s="19"/>
      <c r="D50" s="19"/>
      <c r="E50" s="19"/>
      <c r="F50" s="22"/>
      <c r="G50" s="22"/>
      <c r="H50" s="19"/>
      <c r="I50" s="19"/>
      <c r="J50" s="19"/>
      <c r="K50" s="19"/>
      <c r="L50" s="22"/>
      <c r="M50" s="19"/>
      <c r="N50" s="19"/>
      <c r="O50" s="19"/>
      <c r="P50" s="22"/>
      <c r="Q50" s="22"/>
      <c r="R50" s="19"/>
      <c r="S50" s="30"/>
      <c r="T50" s="22"/>
      <c r="U50" s="19"/>
      <c r="V50" s="119">
        <v>3.1</v>
      </c>
      <c r="W50" s="122" t="s">
        <v>459</v>
      </c>
      <c r="X50" s="19"/>
      <c r="Y50" s="22"/>
      <c r="Z50" s="22"/>
      <c r="AA50" s="19"/>
    </row>
    <row r="51" spans="1:27" hidden="1" x14ac:dyDescent="0.2">
      <c r="A51" s="22"/>
      <c r="B51" s="22"/>
      <c r="C51" s="19"/>
      <c r="D51" s="19"/>
      <c r="E51" s="19"/>
      <c r="F51" s="22"/>
      <c r="G51" s="22"/>
      <c r="H51" s="19"/>
      <c r="I51" s="19"/>
      <c r="J51" s="19"/>
      <c r="K51" s="19"/>
      <c r="L51" s="22"/>
      <c r="M51" s="19"/>
      <c r="N51" s="19"/>
      <c r="O51" s="19"/>
      <c r="P51" s="22"/>
      <c r="Q51" s="22"/>
      <c r="R51" s="19"/>
      <c r="S51" s="30"/>
      <c r="T51" s="22"/>
      <c r="U51" s="19"/>
      <c r="V51" s="125">
        <v>3.2</v>
      </c>
      <c r="W51" s="122" t="s">
        <v>460</v>
      </c>
      <c r="X51" s="19"/>
      <c r="Y51" s="22"/>
      <c r="Z51" s="22"/>
      <c r="AA51" s="19"/>
    </row>
    <row r="52" spans="1:27" hidden="1" x14ac:dyDescent="0.2">
      <c r="A52" s="22"/>
      <c r="B52" s="22"/>
      <c r="C52" s="19"/>
      <c r="D52" s="19"/>
      <c r="E52" s="19"/>
      <c r="F52" s="22"/>
      <c r="G52" s="22"/>
      <c r="H52" s="19"/>
      <c r="I52" s="19"/>
      <c r="J52" s="19"/>
      <c r="K52" s="19"/>
      <c r="L52" s="22"/>
      <c r="M52" s="19"/>
      <c r="N52" s="19"/>
      <c r="O52" s="19"/>
      <c r="P52" s="22"/>
      <c r="Q52" s="22"/>
      <c r="R52" s="19"/>
      <c r="S52" s="30"/>
      <c r="T52" s="22"/>
      <c r="U52" s="19"/>
      <c r="V52" s="119">
        <v>4</v>
      </c>
      <c r="W52" s="129" t="s">
        <v>457</v>
      </c>
      <c r="X52" s="19"/>
      <c r="Y52" s="22"/>
      <c r="Z52" s="22"/>
      <c r="AA52" s="19"/>
    </row>
    <row r="53" spans="1:27" hidden="1" x14ac:dyDescent="0.2">
      <c r="A53" s="22"/>
      <c r="B53" s="22"/>
      <c r="C53" s="19"/>
      <c r="D53" s="19"/>
      <c r="E53" s="19"/>
      <c r="F53" s="22"/>
      <c r="G53" s="22"/>
      <c r="H53" s="19"/>
      <c r="I53" s="19"/>
      <c r="J53" s="19"/>
      <c r="K53" s="19"/>
      <c r="L53" s="22"/>
      <c r="M53" s="19"/>
      <c r="N53" s="19"/>
      <c r="O53" s="19"/>
      <c r="P53" s="22"/>
      <c r="Q53" s="22"/>
      <c r="R53" s="19"/>
      <c r="S53" s="30"/>
      <c r="T53" s="22"/>
      <c r="U53" s="19"/>
      <c r="V53" s="19">
        <v>4.0999999999999996</v>
      </c>
      <c r="W53" s="122" t="s">
        <v>459</v>
      </c>
      <c r="X53" s="19"/>
      <c r="Y53" s="22"/>
      <c r="Z53" s="22"/>
      <c r="AA53" s="19"/>
    </row>
    <row r="54" spans="1:27" hidden="1" x14ac:dyDescent="0.2">
      <c r="A54" s="22"/>
      <c r="B54" s="22"/>
      <c r="C54" s="19"/>
      <c r="D54" s="19"/>
      <c r="E54" s="19"/>
      <c r="F54" s="22"/>
      <c r="G54" s="22"/>
      <c r="H54" s="19"/>
      <c r="I54" s="19"/>
      <c r="J54" s="19"/>
      <c r="K54" s="19"/>
      <c r="L54" s="22"/>
      <c r="M54" s="19"/>
      <c r="N54" s="19"/>
      <c r="O54" s="19"/>
      <c r="P54" s="22"/>
      <c r="Q54" s="22"/>
      <c r="R54" s="19"/>
      <c r="S54" s="30"/>
      <c r="T54" s="22"/>
      <c r="U54" s="19"/>
      <c r="V54" s="19">
        <v>4.2</v>
      </c>
      <c r="W54" s="122" t="s">
        <v>460</v>
      </c>
      <c r="X54" s="19"/>
      <c r="Y54" s="22"/>
      <c r="Z54" s="22"/>
      <c r="AA54" s="19"/>
    </row>
    <row r="55" spans="1:27" hidden="1" x14ac:dyDescent="0.2">
      <c r="A55" s="22"/>
      <c r="B55" s="22"/>
      <c r="C55" s="19"/>
      <c r="D55" s="19"/>
      <c r="E55" s="19"/>
      <c r="F55" s="22"/>
      <c r="G55" s="22"/>
      <c r="H55" s="19"/>
      <c r="I55" s="19"/>
      <c r="J55" s="19"/>
      <c r="K55" s="19"/>
      <c r="L55" s="22"/>
      <c r="M55" s="19"/>
      <c r="N55" s="19"/>
      <c r="O55" s="19"/>
      <c r="P55" s="22"/>
      <c r="Q55" s="22"/>
      <c r="R55" s="19"/>
      <c r="S55" s="30"/>
      <c r="T55" s="22"/>
      <c r="U55" s="19"/>
      <c r="V55" s="19">
        <v>6</v>
      </c>
      <c r="W55" s="122" t="s">
        <v>462</v>
      </c>
      <c r="X55" s="19"/>
      <c r="Y55" s="22"/>
      <c r="Z55" s="22"/>
      <c r="AA55" s="19"/>
    </row>
    <row r="56" spans="1:27" hidden="1" x14ac:dyDescent="0.2">
      <c r="A56" s="22"/>
      <c r="B56" s="22"/>
      <c r="C56" s="19"/>
      <c r="D56" s="19"/>
      <c r="E56" s="19"/>
      <c r="F56" s="22"/>
      <c r="G56" s="22"/>
      <c r="H56" s="19"/>
      <c r="I56" s="19"/>
      <c r="J56" s="19"/>
      <c r="K56" s="19"/>
      <c r="L56" s="22"/>
      <c r="M56" s="19"/>
      <c r="N56" s="19"/>
      <c r="O56" s="19"/>
      <c r="P56" s="22"/>
      <c r="Q56" s="22"/>
      <c r="R56" s="19"/>
      <c r="S56" s="30"/>
      <c r="T56" s="22"/>
      <c r="U56" s="19"/>
      <c r="V56" s="119">
        <v>6.1</v>
      </c>
      <c r="W56" s="122" t="s">
        <v>464</v>
      </c>
      <c r="X56" s="19"/>
      <c r="Y56" s="22"/>
      <c r="Z56" s="22"/>
      <c r="AA56" s="19"/>
    </row>
    <row r="57" spans="1:27" hidden="1" x14ac:dyDescent="0.2">
      <c r="A57" s="22"/>
      <c r="B57" s="22"/>
      <c r="C57" s="19"/>
      <c r="D57" s="19"/>
      <c r="E57" s="19"/>
      <c r="F57" s="22"/>
      <c r="G57" s="22"/>
      <c r="H57" s="19"/>
      <c r="I57" s="19"/>
      <c r="J57" s="19"/>
      <c r="K57" s="19"/>
      <c r="L57" s="22"/>
      <c r="M57" s="19"/>
      <c r="N57" s="19"/>
      <c r="O57" s="19"/>
      <c r="P57" s="22"/>
      <c r="Q57" s="22"/>
      <c r="R57" s="19"/>
      <c r="S57" s="30"/>
      <c r="T57" s="22"/>
      <c r="U57" s="19"/>
      <c r="V57" s="119">
        <v>6.2</v>
      </c>
      <c r="W57" s="122" t="s">
        <v>465</v>
      </c>
      <c r="X57" s="19"/>
      <c r="Y57" s="22"/>
      <c r="Z57" s="22"/>
      <c r="AA57" s="19"/>
    </row>
    <row r="58" spans="1:27" hidden="1" x14ac:dyDescent="0.2">
      <c r="A58" s="22"/>
      <c r="B58" s="22"/>
      <c r="C58" s="19"/>
      <c r="D58" s="19"/>
      <c r="E58" s="19"/>
      <c r="F58" s="22"/>
      <c r="G58" s="22"/>
      <c r="H58" s="19"/>
      <c r="I58" s="19"/>
      <c r="J58" s="19"/>
      <c r="K58" s="19"/>
      <c r="L58" s="22"/>
      <c r="M58" s="19"/>
      <c r="N58" s="19"/>
      <c r="O58" s="19"/>
      <c r="P58" s="22"/>
      <c r="Q58" s="22"/>
      <c r="R58" s="19"/>
      <c r="S58" s="30"/>
      <c r="T58" s="22"/>
      <c r="U58" s="19"/>
      <c r="V58" s="119">
        <v>6.3</v>
      </c>
      <c r="W58" s="122" t="s">
        <v>466</v>
      </c>
      <c r="X58" s="19"/>
      <c r="Y58" s="22"/>
      <c r="Z58" s="22"/>
      <c r="AA58" s="19"/>
    </row>
    <row r="59" spans="1:27" hidden="1" x14ac:dyDescent="0.2">
      <c r="A59" s="22"/>
      <c r="B59" s="22"/>
      <c r="C59" s="19"/>
      <c r="D59" s="19"/>
      <c r="E59" s="19"/>
      <c r="F59" s="22"/>
      <c r="G59" s="22"/>
      <c r="H59" s="19"/>
      <c r="I59" s="19"/>
      <c r="J59" s="19"/>
      <c r="K59" s="19"/>
      <c r="L59" s="22"/>
      <c r="M59" s="19"/>
      <c r="N59" s="19"/>
      <c r="O59" s="19"/>
      <c r="P59" s="22"/>
      <c r="Q59" s="22"/>
      <c r="R59" s="19"/>
      <c r="S59" s="30"/>
      <c r="T59" s="22"/>
      <c r="U59" s="19"/>
      <c r="V59" s="119">
        <v>6.4</v>
      </c>
      <c r="W59" s="122" t="s">
        <v>467</v>
      </c>
      <c r="X59" s="19"/>
      <c r="Y59" s="22"/>
      <c r="Z59" s="22"/>
      <c r="AA59" s="19"/>
    </row>
    <row r="60" spans="1:27" hidden="1" x14ac:dyDescent="0.2">
      <c r="A60" s="22"/>
      <c r="B60" s="22"/>
      <c r="C60" s="19"/>
      <c r="D60" s="19"/>
      <c r="E60" s="19"/>
      <c r="F60" s="22"/>
      <c r="G60" s="22"/>
      <c r="H60" s="19"/>
      <c r="I60" s="19"/>
      <c r="J60" s="19"/>
      <c r="K60" s="19"/>
      <c r="L60" s="22"/>
      <c r="M60" s="19"/>
      <c r="N60" s="19"/>
      <c r="O60" s="19"/>
      <c r="P60" s="22"/>
      <c r="Q60" s="22"/>
      <c r="R60" s="19"/>
      <c r="S60" s="30"/>
      <c r="T60" s="22"/>
      <c r="U60" s="19"/>
      <c r="V60" s="119">
        <v>6.5</v>
      </c>
      <c r="W60" s="122" t="s">
        <v>468</v>
      </c>
      <c r="X60" s="19"/>
      <c r="Y60" s="22"/>
      <c r="Z60" s="22"/>
      <c r="AA60" s="19"/>
    </row>
    <row r="61" spans="1:27" hidden="1" x14ac:dyDescent="0.2">
      <c r="A61" s="22"/>
      <c r="B61" s="22"/>
      <c r="C61" s="19"/>
      <c r="D61" s="19"/>
      <c r="E61" s="19"/>
      <c r="F61" s="22"/>
      <c r="G61" s="22"/>
      <c r="H61" s="19"/>
      <c r="I61" s="19"/>
      <c r="J61" s="19"/>
      <c r="K61" s="19"/>
      <c r="L61" s="22"/>
      <c r="M61" s="19"/>
      <c r="N61" s="19"/>
      <c r="O61" s="19"/>
      <c r="P61" s="22"/>
      <c r="Q61" s="22"/>
      <c r="R61" s="19"/>
      <c r="S61" s="30"/>
      <c r="T61" s="22"/>
      <c r="U61" s="19"/>
      <c r="V61" s="119">
        <v>6.6</v>
      </c>
      <c r="W61" s="122" t="s">
        <v>469</v>
      </c>
      <c r="X61" s="19"/>
      <c r="Y61" s="22"/>
      <c r="Z61" s="22"/>
      <c r="AA61" s="19"/>
    </row>
    <row r="62" spans="1:27" hidden="1" x14ac:dyDescent="0.2">
      <c r="A62" s="22"/>
      <c r="B62" s="22"/>
      <c r="C62" s="19"/>
      <c r="D62" s="19"/>
      <c r="E62" s="19"/>
      <c r="F62" s="22"/>
      <c r="G62" s="22"/>
      <c r="H62" s="19"/>
      <c r="I62" s="19"/>
      <c r="J62" s="19"/>
      <c r="K62" s="19"/>
      <c r="L62" s="22"/>
      <c r="M62" s="19"/>
      <c r="N62" s="19"/>
      <c r="O62" s="19"/>
      <c r="P62" s="22"/>
      <c r="Q62" s="22"/>
      <c r="R62" s="19"/>
      <c r="S62" s="30"/>
      <c r="T62" s="22"/>
      <c r="U62" s="19"/>
      <c r="V62" s="119">
        <v>6.7</v>
      </c>
      <c r="W62" s="122" t="s">
        <v>470</v>
      </c>
      <c r="X62" s="19"/>
      <c r="Y62" s="22"/>
      <c r="Z62" s="22"/>
      <c r="AA62" s="19"/>
    </row>
    <row r="63" spans="1:27" hidden="1" x14ac:dyDescent="0.2">
      <c r="A63" s="22"/>
      <c r="B63" s="22"/>
      <c r="C63" s="19"/>
      <c r="D63" s="19"/>
      <c r="E63" s="19"/>
      <c r="F63" s="22"/>
      <c r="G63" s="22"/>
      <c r="H63" s="19"/>
      <c r="I63" s="19"/>
      <c r="J63" s="19"/>
      <c r="K63" s="19"/>
      <c r="L63" s="22"/>
      <c r="M63" s="19"/>
      <c r="N63" s="19"/>
      <c r="O63" s="19"/>
      <c r="P63" s="22"/>
      <c r="Q63" s="22"/>
      <c r="R63" s="19"/>
      <c r="S63" s="30"/>
      <c r="T63" s="22"/>
      <c r="U63" s="19"/>
      <c r="V63" s="119">
        <v>6.8</v>
      </c>
      <c r="W63" s="122" t="s">
        <v>471</v>
      </c>
      <c r="X63" s="19"/>
      <c r="Y63" s="22"/>
      <c r="Z63" s="22"/>
      <c r="AA63" s="19"/>
    </row>
    <row r="64" spans="1:27" hidden="1" x14ac:dyDescent="0.2">
      <c r="A64" s="22"/>
      <c r="B64" s="22"/>
      <c r="C64" s="19"/>
      <c r="D64" s="19"/>
      <c r="E64" s="19"/>
      <c r="F64" s="22"/>
      <c r="G64" s="22"/>
      <c r="H64" s="19"/>
      <c r="I64" s="19"/>
      <c r="J64" s="19"/>
      <c r="K64" s="19"/>
      <c r="L64" s="22"/>
      <c r="M64" s="19"/>
      <c r="N64" s="19"/>
      <c r="O64" s="19"/>
      <c r="P64" s="22"/>
      <c r="Q64" s="22"/>
      <c r="R64" s="19"/>
      <c r="S64" s="30"/>
      <c r="T64" s="22"/>
      <c r="U64" s="19"/>
      <c r="V64" s="119">
        <v>7</v>
      </c>
      <c r="W64" s="122" t="s">
        <v>463</v>
      </c>
      <c r="X64" s="19"/>
      <c r="Y64" s="22"/>
      <c r="Z64" s="22"/>
      <c r="AA64" s="19"/>
    </row>
    <row r="65" spans="1:27" hidden="1" x14ac:dyDescent="0.2">
      <c r="A65" s="22"/>
      <c r="B65" s="22"/>
      <c r="C65" s="19"/>
      <c r="D65" s="19"/>
      <c r="E65" s="19"/>
      <c r="F65" s="22"/>
      <c r="G65" s="22"/>
      <c r="H65" s="19"/>
      <c r="I65" s="19"/>
      <c r="J65" s="19"/>
      <c r="K65" s="19"/>
      <c r="L65" s="22"/>
      <c r="M65" s="19"/>
      <c r="N65" s="19"/>
      <c r="O65" s="19"/>
      <c r="P65" s="22"/>
      <c r="Q65" s="22"/>
      <c r="R65" s="19"/>
      <c r="S65" s="30"/>
      <c r="T65" s="22"/>
      <c r="U65" s="19"/>
      <c r="V65" s="22"/>
      <c r="W65" s="22"/>
      <c r="X65" s="19"/>
      <c r="Y65" s="19">
        <v>3</v>
      </c>
      <c r="Z65" s="122" t="s">
        <v>474</v>
      </c>
      <c r="AA65" s="19"/>
    </row>
    <row r="66" spans="1:27" x14ac:dyDescent="0.2">
      <c r="A66" s="144">
        <v>11</v>
      </c>
      <c r="B66" s="145" t="s">
        <v>515</v>
      </c>
      <c r="C66" s="144" t="s">
        <v>502</v>
      </c>
      <c r="D66" s="144" t="s">
        <v>514</v>
      </c>
      <c r="E66" s="19"/>
      <c r="F66" s="125"/>
      <c r="G66" s="161"/>
      <c r="H66" s="125"/>
      <c r="I66" s="125"/>
      <c r="J66" s="19"/>
      <c r="K66" s="19"/>
      <c r="L66" s="22"/>
      <c r="M66" s="19"/>
      <c r="N66" s="19"/>
      <c r="O66" s="19"/>
      <c r="P66" s="22"/>
      <c r="Q66" s="22"/>
      <c r="R66" s="19"/>
      <c r="S66" s="30"/>
      <c r="T66" s="22"/>
      <c r="U66" s="19"/>
      <c r="V66" s="22"/>
      <c r="W66" s="22"/>
      <c r="X66" s="19"/>
      <c r="Y66" s="22"/>
      <c r="Z66" s="22"/>
      <c r="AA66" s="19"/>
    </row>
    <row r="67" spans="1:27" x14ac:dyDescent="0.2">
      <c r="A67" s="144">
        <v>12</v>
      </c>
      <c r="B67" s="145" t="s">
        <v>517</v>
      </c>
      <c r="C67" s="144" t="s">
        <v>503</v>
      </c>
      <c r="D67" s="144" t="s">
        <v>514</v>
      </c>
      <c r="E67" s="19"/>
      <c r="F67" s="125"/>
      <c r="G67" s="161"/>
      <c r="H67" s="125"/>
      <c r="I67" s="125"/>
      <c r="J67" s="19"/>
      <c r="K67" s="19"/>
      <c r="L67" s="22"/>
      <c r="M67" s="19"/>
      <c r="N67" s="19"/>
      <c r="O67" s="19"/>
      <c r="P67" s="22"/>
      <c r="Q67" s="22"/>
      <c r="R67" s="19"/>
      <c r="S67" s="30"/>
      <c r="T67" s="22"/>
      <c r="U67" s="19"/>
      <c r="V67" s="22"/>
      <c r="W67" s="22"/>
      <c r="X67" s="19"/>
      <c r="Y67" s="22"/>
      <c r="Z67" s="22"/>
      <c r="AA67" s="19"/>
    </row>
    <row r="68" spans="1:27" x14ac:dyDescent="0.2">
      <c r="A68" s="144">
        <v>13</v>
      </c>
      <c r="B68" s="145" t="s">
        <v>518</v>
      </c>
      <c r="C68" s="144" t="s">
        <v>516</v>
      </c>
      <c r="D68" s="144" t="s">
        <v>514</v>
      </c>
      <c r="E68" s="19"/>
      <c r="F68" s="125"/>
      <c r="G68" s="161"/>
      <c r="H68" s="125"/>
      <c r="I68" s="125"/>
      <c r="J68" s="19"/>
      <c r="K68" s="19"/>
      <c r="L68" s="22"/>
      <c r="M68" s="19"/>
      <c r="N68" s="19"/>
      <c r="O68" s="19"/>
      <c r="P68" s="22"/>
      <c r="Q68" s="22"/>
      <c r="R68" s="19"/>
      <c r="S68" s="30"/>
      <c r="T68" s="22"/>
      <c r="U68" s="19"/>
      <c r="V68" s="22"/>
      <c r="W68" s="22"/>
      <c r="X68" s="19"/>
      <c r="Y68" s="22"/>
      <c r="Z68" s="22"/>
      <c r="AA68" s="19"/>
    </row>
    <row r="73" spans="1:27" x14ac:dyDescent="0.2">
      <c r="B73" s="7"/>
    </row>
    <row r="74" spans="1:27" x14ac:dyDescent="0.2">
      <c r="B74" s="134"/>
    </row>
    <row r="75" spans="1:27" x14ac:dyDescent="0.2">
      <c r="B75" s="134"/>
    </row>
    <row r="76" spans="1:27" x14ac:dyDescent="0.2">
      <c r="B76" s="134"/>
    </row>
    <row r="77" spans="1:27" x14ac:dyDescent="0.2">
      <c r="B77" s="7"/>
    </row>
    <row r="78" spans="1:27" ht="15" x14ac:dyDescent="0.25">
      <c r="B78"/>
    </row>
    <row r="79" spans="1:27" ht="15" x14ac:dyDescent="0.25">
      <c r="B79"/>
    </row>
    <row r="80" spans="1:27" ht="15" x14ac:dyDescent="0.25">
      <c r="B80"/>
    </row>
    <row r="81" spans="2:2" ht="15" x14ac:dyDescent="0.25">
      <c r="B81"/>
    </row>
    <row r="82" spans="2:2" ht="15" x14ac:dyDescent="0.25">
      <c r="B82"/>
    </row>
    <row r="83" spans="2:2" ht="15" x14ac:dyDescent="0.25">
      <c r="B83"/>
    </row>
    <row r="84" spans="2:2" ht="15" x14ac:dyDescent="0.25">
      <c r="B84"/>
    </row>
    <row r="85" spans="2:2" ht="15" x14ac:dyDescent="0.25">
      <c r="B85"/>
    </row>
    <row r="86" spans="2:2" ht="15" x14ac:dyDescent="0.25">
      <c r="B86"/>
    </row>
    <row r="87" spans="2:2" ht="15" x14ac:dyDescent="0.25">
      <c r="B87"/>
    </row>
    <row r="88" spans="2:2" ht="15" x14ac:dyDescent="0.25">
      <c r="B88"/>
    </row>
    <row r="89" spans="2:2" ht="15" x14ac:dyDescent="0.25">
      <c r="B89"/>
    </row>
    <row r="90" spans="2:2" ht="15" x14ac:dyDescent="0.25">
      <c r="B90"/>
    </row>
    <row r="91" spans="2:2" ht="15" x14ac:dyDescent="0.25">
      <c r="B91"/>
    </row>
    <row r="92" spans="2:2" ht="15" x14ac:dyDescent="0.25">
      <c r="B92"/>
    </row>
  </sheetData>
  <autoFilter ref="A1:AA68" xr:uid="{4ADFFA32-D54A-44D7-8F9D-136FF531FEFD}">
    <filterColumn colId="0">
      <customFilters>
        <customFilter operator="notEqual" val=" "/>
      </customFilters>
    </filterColumn>
  </autoFilter>
  <sortState xmlns:xlrd2="http://schemas.microsoft.com/office/spreadsheetml/2017/richdata2" ref="B73:B92">
    <sortCondition ref="B92"/>
  </sortState>
  <conditionalFormatting sqref="F33 L3:O14 F3:F14 F17:F19 M32:O32 O33 O36 M34:O35 L37:L38 F21 F23:F31 L23:O31 O18:O22">
    <cfRule type="containsErrors" dxfId="132" priority="27">
      <formula>ISERROR(F3)</formula>
    </cfRule>
    <cfRule type="containsText" dxfId="131" priority="28" operator="containsText" text="Не найдено">
      <formula>NOT(ISERROR(SEARCH("Не найдено",F3)))</formula>
    </cfRule>
  </conditionalFormatting>
  <conditionalFormatting sqref="G33 G3:G14 G17:G19 G21 G23:G31">
    <cfRule type="containsText" dxfId="130" priority="25" operator="containsText" text="Не найдено">
      <formula>NOT(ISERROR(SEARCH("Не найдено",G3)))</formula>
    </cfRule>
    <cfRule type="containsErrors" dxfId="129" priority="26">
      <formula>ISERROR(G3)</formula>
    </cfRule>
  </conditionalFormatting>
  <conditionalFormatting sqref="A2">
    <cfRule type="containsErrors" dxfId="128" priority="23">
      <formula>ISERROR(A2)</formula>
    </cfRule>
    <cfRule type="containsText" dxfId="127" priority="24" operator="containsText" text="Не найдено">
      <formula>NOT(ISERROR(SEARCH("Не найдено",A2)))</formula>
    </cfRule>
  </conditionalFormatting>
  <conditionalFormatting sqref="B2">
    <cfRule type="containsText" dxfId="126" priority="21" operator="containsText" text="Не найдено">
      <formula>NOT(ISERROR(SEARCH("Не найдено",B2)))</formula>
    </cfRule>
    <cfRule type="containsErrors" dxfId="125" priority="22">
      <formula>ISERROR(B2)</formula>
    </cfRule>
  </conditionalFormatting>
  <conditionalFormatting sqref="K17">
    <cfRule type="containsErrors" dxfId="19" priority="19">
      <formula>ISERROR(K17)</formula>
    </cfRule>
    <cfRule type="containsText" dxfId="18" priority="20" operator="containsText" text="Не найдено">
      <formula>NOT(ISERROR(SEARCH("Не найдено",K17)))</formula>
    </cfRule>
  </conditionalFormatting>
  <conditionalFormatting sqref="L17">
    <cfRule type="containsText" dxfId="17" priority="17" operator="containsText" text="Не найдено">
      <formula>NOT(ISERROR(SEARCH("Не найдено",L17)))</formula>
    </cfRule>
    <cfRule type="containsErrors" dxfId="16" priority="18">
      <formula>ISERROR(L17)</formula>
    </cfRule>
  </conditionalFormatting>
  <conditionalFormatting sqref="K18">
    <cfRule type="containsErrors" dxfId="15" priority="15">
      <formula>ISERROR(K18)</formula>
    </cfRule>
    <cfRule type="containsText" dxfId="14" priority="16" operator="containsText" text="Не найдено">
      <formula>NOT(ISERROR(SEARCH("Не найдено",K18)))</formula>
    </cfRule>
  </conditionalFormatting>
  <conditionalFormatting sqref="L18">
    <cfRule type="containsText" dxfId="13" priority="13" operator="containsText" text="Не найдено">
      <formula>NOT(ISERROR(SEARCH("Не найдено",L18)))</formula>
    </cfRule>
    <cfRule type="containsErrors" dxfId="12" priority="14">
      <formula>ISERROR(L18)</formula>
    </cfRule>
  </conditionalFormatting>
  <conditionalFormatting sqref="K19">
    <cfRule type="containsErrors" dxfId="11" priority="11">
      <formula>ISERROR(K19)</formula>
    </cfRule>
    <cfRule type="containsText" dxfId="10" priority="12" operator="containsText" text="Не найдено">
      <formula>NOT(ISERROR(SEARCH("Не найдено",K19)))</formula>
    </cfRule>
  </conditionalFormatting>
  <conditionalFormatting sqref="L19">
    <cfRule type="containsText" dxfId="9" priority="9" operator="containsText" text="Не найдено">
      <formula>NOT(ISERROR(SEARCH("Не найдено",L19)))</formula>
    </cfRule>
    <cfRule type="containsErrors" dxfId="8" priority="10">
      <formula>ISERROR(L19)</formula>
    </cfRule>
  </conditionalFormatting>
  <conditionalFormatting sqref="K21">
    <cfRule type="containsErrors" dxfId="7" priority="7">
      <formula>ISERROR(K21)</formula>
    </cfRule>
    <cfRule type="containsText" dxfId="6" priority="8" operator="containsText" text="Не найдено">
      <formula>NOT(ISERROR(SEARCH("Не найдено",K21)))</formula>
    </cfRule>
  </conditionalFormatting>
  <conditionalFormatting sqref="L21">
    <cfRule type="containsText" dxfId="5" priority="5" operator="containsText" text="Не найдено">
      <formula>NOT(ISERROR(SEARCH("Не найдено",L21)))</formula>
    </cfRule>
    <cfRule type="containsErrors" dxfId="4" priority="6">
      <formula>ISERROR(L21)</formula>
    </cfRule>
  </conditionalFormatting>
  <conditionalFormatting sqref="K33">
    <cfRule type="containsErrors" dxfId="3" priority="3">
      <formula>ISERROR(K33)</formula>
    </cfRule>
    <cfRule type="containsText" dxfId="2" priority="4" operator="containsText" text="Не найдено">
      <formula>NOT(ISERROR(SEARCH("Не найдено",K33)))</formula>
    </cfRule>
  </conditionalFormatting>
  <conditionalFormatting sqref="L33">
    <cfRule type="containsText" dxfId="1" priority="1" operator="containsText" text="Не найдено">
      <formula>NOT(ISERROR(SEARCH("Не найдено",L33)))</formula>
    </cfRule>
    <cfRule type="containsErrors" dxfId="0" priority="2">
      <formula>ISERROR(L33)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EC39C-74F7-4DAB-96B2-0DBC64A6935C}">
  <dimension ref="B2:BP42"/>
  <sheetViews>
    <sheetView topLeftCell="A25" workbookViewId="0">
      <selection activeCell="BF47" sqref="BF47"/>
    </sheetView>
  </sheetViews>
  <sheetFormatPr defaultColWidth="2.28515625" defaultRowHeight="9.9499999999999993" customHeight="1" x14ac:dyDescent="0.25"/>
  <cols>
    <col min="1" max="28" width="2.28515625" customWidth="1"/>
  </cols>
  <sheetData>
    <row r="2" spans="2:68" ht="9.9499999999999993" customHeight="1" x14ac:dyDescent="0.25">
      <c r="B2" s="87" t="s">
        <v>223</v>
      </c>
      <c r="C2" s="88"/>
      <c r="D2" s="88"/>
      <c r="E2" s="88"/>
      <c r="F2" s="88"/>
      <c r="G2" s="88"/>
      <c r="H2" s="89"/>
      <c r="I2" s="2"/>
      <c r="J2" s="2"/>
      <c r="K2" s="55"/>
      <c r="L2" s="87" t="s">
        <v>220</v>
      </c>
      <c r="M2" s="88"/>
      <c r="N2" s="88"/>
      <c r="O2" s="88"/>
      <c r="P2" s="88"/>
      <c r="Q2" s="88"/>
      <c r="R2" s="89"/>
      <c r="S2" s="55"/>
      <c r="T2" s="55"/>
      <c r="U2" s="55"/>
      <c r="V2" s="69" t="s">
        <v>216</v>
      </c>
      <c r="W2" s="70"/>
      <c r="X2" s="70"/>
      <c r="Y2" s="70"/>
      <c r="Z2" s="70"/>
      <c r="AA2" s="70"/>
      <c r="AB2" s="71"/>
      <c r="AC2" s="55"/>
      <c r="AD2" s="55"/>
      <c r="AE2" s="55"/>
      <c r="AF2" s="69" t="s">
        <v>226</v>
      </c>
      <c r="AG2" s="70"/>
      <c r="AH2" s="70"/>
      <c r="AI2" s="70"/>
      <c r="AJ2" s="70"/>
      <c r="AK2" s="70"/>
      <c r="AL2" s="71"/>
      <c r="AM2" s="55"/>
      <c r="AN2" s="55"/>
      <c r="AO2" s="55"/>
      <c r="AP2" s="69" t="s">
        <v>211</v>
      </c>
      <c r="AQ2" s="70"/>
      <c r="AR2" s="70"/>
      <c r="AS2" s="70"/>
      <c r="AT2" s="70"/>
      <c r="AU2" s="70"/>
      <c r="AV2" s="71"/>
      <c r="AW2" s="55"/>
      <c r="AX2" s="55"/>
      <c r="AY2" s="55"/>
      <c r="AZ2" s="69" t="s">
        <v>213</v>
      </c>
      <c r="BA2" s="70"/>
      <c r="BB2" s="70"/>
      <c r="BC2" s="70"/>
      <c r="BD2" s="70"/>
      <c r="BE2" s="70"/>
      <c r="BF2" s="71"/>
      <c r="BJ2" s="102" t="s">
        <v>390</v>
      </c>
      <c r="BK2" s="103"/>
      <c r="BL2" s="103"/>
      <c r="BM2" s="103"/>
      <c r="BN2" s="103"/>
      <c r="BO2" s="103"/>
      <c r="BP2" s="104"/>
    </row>
    <row r="3" spans="2:68" ht="9.9499999999999993" customHeight="1" x14ac:dyDescent="0.25">
      <c r="B3" s="78" t="s">
        <v>60</v>
      </c>
      <c r="C3" s="79"/>
      <c r="D3" s="79"/>
      <c r="E3" s="79"/>
      <c r="F3" s="79"/>
      <c r="G3" s="79"/>
      <c r="H3" s="80"/>
      <c r="I3" s="47"/>
      <c r="J3" s="47"/>
      <c r="K3" s="91"/>
      <c r="L3" s="78" t="s">
        <v>60</v>
      </c>
      <c r="M3" s="79"/>
      <c r="N3" s="79"/>
      <c r="O3" s="79"/>
      <c r="P3" s="79"/>
      <c r="Q3" s="79"/>
      <c r="R3" s="80"/>
      <c r="S3" s="48"/>
      <c r="T3" s="48"/>
      <c r="U3" s="91"/>
      <c r="V3" s="78" t="s">
        <v>60</v>
      </c>
      <c r="W3" s="79"/>
      <c r="X3" s="79"/>
      <c r="Y3" s="79"/>
      <c r="Z3" s="79"/>
      <c r="AA3" s="79"/>
      <c r="AB3" s="80"/>
      <c r="AC3" s="47"/>
      <c r="AD3" s="48"/>
      <c r="AE3" s="91"/>
      <c r="AF3" s="78" t="s">
        <v>60</v>
      </c>
      <c r="AG3" s="79"/>
      <c r="AH3" s="79"/>
      <c r="AI3" s="79"/>
      <c r="AJ3" s="79"/>
      <c r="AK3" s="79"/>
      <c r="AL3" s="80"/>
      <c r="AM3" s="48"/>
      <c r="AN3" s="48"/>
      <c r="AO3" s="91"/>
      <c r="AP3" s="78" t="s">
        <v>60</v>
      </c>
      <c r="AQ3" s="79"/>
      <c r="AR3" s="79"/>
      <c r="AS3" s="79"/>
      <c r="AT3" s="79"/>
      <c r="AU3" s="79"/>
      <c r="AV3" s="80"/>
      <c r="AW3" s="48"/>
      <c r="AX3" s="48"/>
      <c r="AY3" s="91"/>
      <c r="AZ3" s="78" t="s">
        <v>60</v>
      </c>
      <c r="BA3" s="79"/>
      <c r="BB3" s="79"/>
      <c r="BC3" s="79"/>
      <c r="BD3" s="79"/>
      <c r="BE3" s="79"/>
      <c r="BF3" s="80"/>
      <c r="BG3" s="48"/>
      <c r="BH3" s="48"/>
      <c r="BI3" s="91"/>
      <c r="BJ3" s="78" t="s">
        <v>60</v>
      </c>
      <c r="BK3" s="79"/>
      <c r="BL3" s="79"/>
      <c r="BM3" s="79"/>
      <c r="BN3" s="79"/>
      <c r="BO3" s="79"/>
      <c r="BP3" s="80"/>
    </row>
    <row r="4" spans="2:68" ht="9.9499999999999993" customHeight="1" x14ac:dyDescent="0.25">
      <c r="B4" s="81" t="s">
        <v>93</v>
      </c>
      <c r="C4" s="82"/>
      <c r="D4" s="82"/>
      <c r="E4" s="82"/>
      <c r="F4" s="82"/>
      <c r="G4" s="82"/>
      <c r="H4" s="83"/>
      <c r="I4" s="1"/>
      <c r="J4" s="1"/>
      <c r="K4" s="52"/>
      <c r="L4" s="81" t="s">
        <v>93</v>
      </c>
      <c r="M4" s="82"/>
      <c r="N4" s="82"/>
      <c r="O4" s="82"/>
      <c r="P4" s="82"/>
      <c r="Q4" s="82"/>
      <c r="R4" s="83"/>
      <c r="S4" s="48"/>
      <c r="T4" s="48"/>
      <c r="U4" s="53"/>
      <c r="V4" s="81" t="s">
        <v>93</v>
      </c>
      <c r="W4" s="82"/>
      <c r="X4" s="82"/>
      <c r="Y4" s="82"/>
      <c r="Z4" s="82"/>
      <c r="AA4" s="82"/>
      <c r="AB4" s="83"/>
      <c r="AC4" s="47"/>
      <c r="AD4" s="48"/>
      <c r="AE4" s="53"/>
      <c r="AF4" s="81" t="s">
        <v>93</v>
      </c>
      <c r="AG4" s="82"/>
      <c r="AH4" s="82"/>
      <c r="AI4" s="82"/>
      <c r="AJ4" s="82"/>
      <c r="AK4" s="82"/>
      <c r="AL4" s="83"/>
      <c r="AM4" s="48"/>
      <c r="AN4" s="48"/>
      <c r="AO4" s="53"/>
      <c r="AP4" s="81" t="s">
        <v>93</v>
      </c>
      <c r="AQ4" s="82"/>
      <c r="AR4" s="82"/>
      <c r="AS4" s="82"/>
      <c r="AT4" s="82"/>
      <c r="AU4" s="82"/>
      <c r="AV4" s="83"/>
      <c r="AW4" s="48"/>
      <c r="AX4" s="48"/>
      <c r="AY4" s="53"/>
      <c r="AZ4" s="81" t="s">
        <v>93</v>
      </c>
      <c r="BA4" s="82"/>
      <c r="BB4" s="82"/>
      <c r="BC4" s="82"/>
      <c r="BD4" s="82"/>
      <c r="BE4" s="82"/>
      <c r="BF4" s="83"/>
      <c r="BI4" s="92"/>
      <c r="BJ4" s="81" t="s">
        <v>93</v>
      </c>
      <c r="BK4" s="82"/>
      <c r="BL4" s="82"/>
      <c r="BM4" s="82"/>
      <c r="BN4" s="82"/>
      <c r="BO4" s="82"/>
      <c r="BP4" s="83"/>
    </row>
    <row r="5" spans="2:68" ht="9.9499999999999993" customHeight="1" x14ac:dyDescent="0.25">
      <c r="B5" s="81" t="s">
        <v>94</v>
      </c>
      <c r="C5" s="82"/>
      <c r="D5" s="82"/>
      <c r="E5" s="82"/>
      <c r="F5" s="82"/>
      <c r="G5" s="82"/>
      <c r="H5" s="83"/>
      <c r="I5" s="1"/>
      <c r="J5" s="1"/>
      <c r="K5" s="52"/>
      <c r="L5" s="81" t="s">
        <v>94</v>
      </c>
      <c r="M5" s="82"/>
      <c r="N5" s="82"/>
      <c r="O5" s="82"/>
      <c r="P5" s="82"/>
      <c r="Q5" s="82"/>
      <c r="R5" s="83"/>
      <c r="S5" s="48"/>
      <c r="T5" s="48"/>
      <c r="U5" s="53"/>
      <c r="V5" s="81" t="s">
        <v>94</v>
      </c>
      <c r="W5" s="82"/>
      <c r="X5" s="82"/>
      <c r="Y5" s="82"/>
      <c r="Z5" s="82"/>
      <c r="AA5" s="82"/>
      <c r="AB5" s="83"/>
      <c r="AC5" s="47"/>
      <c r="AD5" s="48"/>
      <c r="AE5" s="53"/>
      <c r="AF5" s="81" t="s">
        <v>94</v>
      </c>
      <c r="AG5" s="82"/>
      <c r="AH5" s="82"/>
      <c r="AI5" s="82"/>
      <c r="AJ5" s="82"/>
      <c r="AK5" s="82"/>
      <c r="AL5" s="83"/>
      <c r="AM5" s="48"/>
      <c r="AN5" s="48"/>
      <c r="AO5" s="53"/>
      <c r="AP5" s="81" t="s">
        <v>94</v>
      </c>
      <c r="AQ5" s="82"/>
      <c r="AR5" s="82"/>
      <c r="AS5" s="82"/>
      <c r="AT5" s="82"/>
      <c r="AU5" s="82"/>
      <c r="AV5" s="83"/>
      <c r="AW5" s="48"/>
      <c r="AX5" s="48"/>
      <c r="AY5" s="53"/>
      <c r="AZ5" s="81" t="s">
        <v>94</v>
      </c>
      <c r="BA5" s="82"/>
      <c r="BB5" s="82"/>
      <c r="BC5" s="82"/>
      <c r="BD5" s="82"/>
      <c r="BE5" s="82"/>
      <c r="BF5" s="83"/>
      <c r="BI5" s="92"/>
      <c r="BJ5" s="81" t="s">
        <v>94</v>
      </c>
      <c r="BK5" s="82"/>
      <c r="BL5" s="82"/>
      <c r="BM5" s="82"/>
      <c r="BN5" s="82"/>
      <c r="BO5" s="82"/>
      <c r="BP5" s="83"/>
    </row>
    <row r="6" spans="2:68" ht="9.9499999999999993" customHeight="1" x14ac:dyDescent="0.25">
      <c r="B6" s="81" t="s">
        <v>398</v>
      </c>
      <c r="C6" s="82"/>
      <c r="D6" s="82"/>
      <c r="E6" s="82"/>
      <c r="F6" s="82"/>
      <c r="G6" s="82"/>
      <c r="H6" s="83"/>
      <c r="I6" s="1"/>
      <c r="J6" s="1"/>
      <c r="K6" s="52"/>
      <c r="L6" s="81" t="s">
        <v>398</v>
      </c>
      <c r="M6" s="82"/>
      <c r="N6" s="82"/>
      <c r="O6" s="82"/>
      <c r="P6" s="82"/>
      <c r="Q6" s="82"/>
      <c r="R6" s="83"/>
      <c r="U6" s="52"/>
      <c r="V6" s="81" t="s">
        <v>398</v>
      </c>
      <c r="W6" s="82"/>
      <c r="X6" s="82"/>
      <c r="Y6" s="82"/>
      <c r="Z6" s="82"/>
      <c r="AA6" s="82"/>
      <c r="AB6" s="83"/>
      <c r="AE6" s="52"/>
      <c r="AF6" s="81" t="s">
        <v>398</v>
      </c>
      <c r="AG6" s="82"/>
      <c r="AH6" s="82"/>
      <c r="AI6" s="82"/>
      <c r="AJ6" s="82"/>
      <c r="AK6" s="82"/>
      <c r="AL6" s="83"/>
      <c r="AO6" s="52"/>
      <c r="AP6" s="81" t="s">
        <v>398</v>
      </c>
      <c r="AQ6" s="82"/>
      <c r="AR6" s="82"/>
      <c r="AS6" s="82"/>
      <c r="AT6" s="82"/>
      <c r="AU6" s="82"/>
      <c r="AV6" s="83"/>
      <c r="AY6" s="52"/>
      <c r="AZ6" s="81" t="s">
        <v>398</v>
      </c>
      <c r="BA6" s="82"/>
      <c r="BB6" s="82"/>
      <c r="BC6" s="82"/>
      <c r="BD6" s="82"/>
      <c r="BE6" s="82"/>
      <c r="BF6" s="83"/>
      <c r="BI6" s="92"/>
      <c r="BJ6" s="81" t="s">
        <v>398</v>
      </c>
      <c r="BK6" s="82"/>
      <c r="BL6" s="82"/>
      <c r="BM6" s="82"/>
      <c r="BN6" s="82"/>
      <c r="BO6" s="82"/>
      <c r="BP6" s="83"/>
    </row>
    <row r="7" spans="2:68" ht="9.9499999999999993" customHeight="1" x14ac:dyDescent="0.25">
      <c r="B7" s="81" t="s">
        <v>399</v>
      </c>
      <c r="C7" s="82"/>
      <c r="D7" s="82"/>
      <c r="E7" s="82"/>
      <c r="F7" s="82"/>
      <c r="G7" s="82"/>
      <c r="H7" s="83"/>
      <c r="I7" s="1"/>
      <c r="J7" s="1"/>
      <c r="K7" s="52"/>
      <c r="L7" s="81" t="s">
        <v>399</v>
      </c>
      <c r="M7" s="82"/>
      <c r="N7" s="82"/>
      <c r="O7" s="82"/>
      <c r="P7" s="82"/>
      <c r="Q7" s="82"/>
      <c r="R7" s="83"/>
      <c r="U7" s="52"/>
      <c r="V7" s="81" t="s">
        <v>399</v>
      </c>
      <c r="W7" s="82"/>
      <c r="X7" s="82"/>
      <c r="Y7" s="82"/>
      <c r="Z7" s="82"/>
      <c r="AA7" s="82"/>
      <c r="AB7" s="83"/>
      <c r="AE7" s="52"/>
      <c r="AF7" s="81" t="s">
        <v>399</v>
      </c>
      <c r="AG7" s="82"/>
      <c r="AH7" s="82"/>
      <c r="AI7" s="82"/>
      <c r="AJ7" s="82"/>
      <c r="AK7" s="82"/>
      <c r="AL7" s="83"/>
      <c r="AO7" s="52"/>
      <c r="AP7" s="81" t="s">
        <v>399</v>
      </c>
      <c r="AQ7" s="82"/>
      <c r="AR7" s="82"/>
      <c r="AS7" s="82"/>
      <c r="AT7" s="82"/>
      <c r="AU7" s="82"/>
      <c r="AV7" s="83"/>
      <c r="AY7" s="52"/>
      <c r="AZ7" s="81" t="s">
        <v>399</v>
      </c>
      <c r="BA7" s="82"/>
      <c r="BB7" s="82"/>
      <c r="BC7" s="82"/>
      <c r="BD7" s="82"/>
      <c r="BE7" s="82"/>
      <c r="BF7" s="83"/>
      <c r="BI7" s="92"/>
      <c r="BJ7" s="81" t="s">
        <v>399</v>
      </c>
      <c r="BK7" s="82"/>
      <c r="BL7" s="82"/>
      <c r="BM7" s="82"/>
      <c r="BN7" s="82"/>
      <c r="BO7" s="82"/>
      <c r="BP7" s="83"/>
    </row>
    <row r="8" spans="2:68" ht="9.9499999999999993" customHeight="1" x14ac:dyDescent="0.25">
      <c r="B8" s="63"/>
      <c r="C8" s="64"/>
      <c r="D8" s="64"/>
      <c r="E8" s="64"/>
      <c r="F8" s="64"/>
      <c r="G8" s="64"/>
      <c r="H8" s="65"/>
      <c r="I8" s="1"/>
      <c r="J8" s="1"/>
      <c r="L8" s="63"/>
      <c r="M8" s="64"/>
      <c r="N8" s="64"/>
      <c r="O8" s="64"/>
      <c r="P8" s="64"/>
      <c r="Q8" s="64"/>
      <c r="R8" s="65"/>
      <c r="V8" s="63"/>
      <c r="W8" s="64"/>
      <c r="X8" s="64"/>
      <c r="Y8" s="64"/>
      <c r="Z8" s="64"/>
      <c r="AA8" s="64"/>
      <c r="AB8" s="65"/>
      <c r="AF8" s="63"/>
      <c r="AG8" s="64"/>
      <c r="AH8" s="64"/>
      <c r="AI8" s="64"/>
      <c r="AJ8" s="64"/>
      <c r="AK8" s="64"/>
      <c r="AL8" s="65"/>
      <c r="AP8" s="63"/>
      <c r="AQ8" s="64"/>
      <c r="AR8" s="64"/>
      <c r="AS8" s="64"/>
      <c r="AT8" s="64"/>
      <c r="AU8" s="64"/>
      <c r="AV8" s="65"/>
      <c r="AZ8" s="63"/>
      <c r="BA8" s="64"/>
      <c r="BB8" s="64"/>
      <c r="BC8" s="64"/>
      <c r="BD8" s="64"/>
      <c r="BE8" s="64"/>
      <c r="BF8" s="65"/>
      <c r="BJ8" s="63"/>
      <c r="BK8" s="64"/>
      <c r="BL8" s="64"/>
      <c r="BM8" s="64"/>
      <c r="BN8" s="64"/>
      <c r="BO8" s="64"/>
      <c r="BP8" s="65"/>
    </row>
    <row r="9" spans="2:68" ht="9.9499999999999993" customHeight="1" x14ac:dyDescent="0.25">
      <c r="B9" s="63"/>
      <c r="C9" s="64"/>
      <c r="D9" s="64"/>
      <c r="E9" s="64"/>
      <c r="F9" s="64"/>
      <c r="G9" s="64"/>
      <c r="H9" s="65"/>
      <c r="I9" s="1"/>
      <c r="J9" s="1"/>
      <c r="L9" s="63"/>
      <c r="M9" s="64"/>
      <c r="N9" s="64"/>
      <c r="O9" s="64"/>
      <c r="P9" s="64"/>
      <c r="Q9" s="64"/>
      <c r="R9" s="65"/>
      <c r="V9" s="63"/>
      <c r="W9" s="64"/>
      <c r="X9" s="64"/>
      <c r="Y9" s="64"/>
      <c r="Z9" s="64"/>
      <c r="AA9" s="64"/>
      <c r="AB9" s="65"/>
      <c r="AF9" s="63"/>
      <c r="AG9" s="64"/>
      <c r="AH9" s="64"/>
      <c r="AI9" s="64"/>
      <c r="AJ9" s="64"/>
      <c r="AK9" s="64"/>
      <c r="AL9" s="65"/>
      <c r="AP9" s="63"/>
      <c r="AQ9" s="64"/>
      <c r="AR9" s="64"/>
      <c r="AS9" s="64"/>
      <c r="AT9" s="64"/>
      <c r="AU9" s="64"/>
      <c r="AV9" s="65"/>
      <c r="AZ9" s="63"/>
      <c r="BA9" s="64"/>
      <c r="BB9" s="64"/>
      <c r="BC9" s="64"/>
      <c r="BD9" s="64"/>
      <c r="BE9" s="64"/>
      <c r="BF9" s="65"/>
      <c r="BJ9" s="63"/>
      <c r="BK9" s="64"/>
      <c r="BL9" s="64"/>
      <c r="BM9" s="64"/>
      <c r="BN9" s="64"/>
      <c r="BO9" s="64"/>
      <c r="BP9" s="65"/>
    </row>
    <row r="10" spans="2:68" ht="9.9499999999999993" customHeight="1" x14ac:dyDescent="0.25">
      <c r="B10" s="63"/>
      <c r="C10" s="64"/>
      <c r="D10" s="64"/>
      <c r="E10" s="64"/>
      <c r="F10" s="64"/>
      <c r="G10" s="64"/>
      <c r="H10" s="65"/>
      <c r="I10" s="1"/>
      <c r="J10" s="1"/>
      <c r="L10" s="63"/>
      <c r="M10" s="64"/>
      <c r="N10" s="64"/>
      <c r="O10" s="64"/>
      <c r="P10" s="64"/>
      <c r="Q10" s="64"/>
      <c r="R10" s="65"/>
      <c r="V10" s="63"/>
      <c r="W10" s="64"/>
      <c r="X10" s="64"/>
      <c r="Y10" s="64"/>
      <c r="Z10" s="64"/>
      <c r="AA10" s="64"/>
      <c r="AB10" s="65"/>
      <c r="AC10" s="1"/>
      <c r="AF10" s="63"/>
      <c r="AG10" s="64"/>
      <c r="AH10" s="64"/>
      <c r="AI10" s="64"/>
      <c r="AJ10" s="64"/>
      <c r="AK10" s="64"/>
      <c r="AL10" s="65"/>
      <c r="AP10" s="63"/>
      <c r="AQ10" s="64"/>
      <c r="AR10" s="64"/>
      <c r="AS10" s="64"/>
      <c r="AT10" s="64"/>
      <c r="AU10" s="64"/>
      <c r="AV10" s="65"/>
      <c r="AZ10" s="63"/>
      <c r="BA10" s="64"/>
      <c r="BB10" s="64"/>
      <c r="BC10" s="64"/>
      <c r="BD10" s="64"/>
      <c r="BE10" s="64"/>
      <c r="BF10" s="65"/>
      <c r="BJ10" s="63"/>
      <c r="BK10" s="64"/>
      <c r="BL10" s="64"/>
      <c r="BM10" s="64"/>
      <c r="BN10" s="64"/>
      <c r="BO10" s="64"/>
      <c r="BP10" s="65"/>
    </row>
    <row r="11" spans="2:68" ht="9.9499999999999993" customHeight="1" x14ac:dyDescent="0.25">
      <c r="B11" s="63"/>
      <c r="C11" s="64"/>
      <c r="D11" s="64"/>
      <c r="E11" s="64"/>
      <c r="F11" s="64"/>
      <c r="G11" s="64"/>
      <c r="H11" s="65"/>
      <c r="I11" s="1"/>
      <c r="J11" s="1"/>
      <c r="L11" s="63"/>
      <c r="M11" s="64"/>
      <c r="N11" s="64"/>
      <c r="O11" s="64"/>
      <c r="P11" s="64"/>
      <c r="Q11" s="64"/>
      <c r="R11" s="65"/>
      <c r="V11" s="63"/>
      <c r="W11" s="64"/>
      <c r="X11" s="64"/>
      <c r="Y11" s="64"/>
      <c r="Z11" s="64"/>
      <c r="AA11" s="64"/>
      <c r="AB11" s="65"/>
      <c r="AF11" s="63"/>
      <c r="AG11" s="64"/>
      <c r="AH11" s="64"/>
      <c r="AI11" s="64"/>
      <c r="AJ11" s="64"/>
      <c r="AK11" s="64"/>
      <c r="AL11" s="65"/>
      <c r="AP11" s="63"/>
      <c r="AQ11" s="64"/>
      <c r="AR11" s="64"/>
      <c r="AS11" s="64"/>
      <c r="AT11" s="64"/>
      <c r="AU11" s="64"/>
      <c r="AV11" s="65"/>
      <c r="AZ11" s="63"/>
      <c r="BA11" s="64"/>
      <c r="BB11" s="64"/>
      <c r="BC11" s="64"/>
      <c r="BD11" s="64"/>
      <c r="BE11" s="64"/>
      <c r="BF11" s="65"/>
      <c r="BJ11" s="63"/>
      <c r="BK11" s="64"/>
      <c r="BL11" s="64"/>
      <c r="BM11" s="64"/>
      <c r="BN11" s="64"/>
      <c r="BO11" s="64"/>
      <c r="BP11" s="65"/>
    </row>
    <row r="12" spans="2:68" ht="9.9499999999999993" customHeight="1" x14ac:dyDescent="0.25">
      <c r="B12" s="63"/>
      <c r="C12" s="64"/>
      <c r="D12" s="64"/>
      <c r="E12" s="64"/>
      <c r="F12" s="64"/>
      <c r="G12" s="64"/>
      <c r="H12" s="65"/>
      <c r="I12" s="1"/>
      <c r="J12" s="1"/>
      <c r="L12" s="63"/>
      <c r="M12" s="64"/>
      <c r="N12" s="64"/>
      <c r="O12" s="64"/>
      <c r="P12" s="64"/>
      <c r="Q12" s="64"/>
      <c r="R12" s="65"/>
      <c r="V12" s="63"/>
      <c r="W12" s="64"/>
      <c r="X12" s="64"/>
      <c r="Y12" s="64"/>
      <c r="Z12" s="64"/>
      <c r="AA12" s="64"/>
      <c r="AB12" s="65"/>
      <c r="AC12" s="1"/>
      <c r="AF12" s="63"/>
      <c r="AG12" s="64"/>
      <c r="AH12" s="64"/>
      <c r="AI12" s="64"/>
      <c r="AJ12" s="64"/>
      <c r="AK12" s="64"/>
      <c r="AL12" s="65"/>
      <c r="AP12" s="63"/>
      <c r="AQ12" s="64"/>
      <c r="AR12" s="64"/>
      <c r="AS12" s="64"/>
      <c r="AT12" s="64"/>
      <c r="AU12" s="64"/>
      <c r="AV12" s="65"/>
      <c r="AZ12" s="63"/>
      <c r="BA12" s="64"/>
      <c r="BB12" s="64"/>
      <c r="BC12" s="64"/>
      <c r="BD12" s="64"/>
      <c r="BE12" s="64"/>
      <c r="BF12" s="65"/>
      <c r="BJ12" s="63"/>
      <c r="BK12" s="64"/>
      <c r="BL12" s="64"/>
      <c r="BM12" s="64"/>
      <c r="BN12" s="64"/>
      <c r="BO12" s="64"/>
      <c r="BP12" s="65"/>
    </row>
    <row r="13" spans="2:68" ht="9.9499999999999993" customHeight="1" x14ac:dyDescent="0.25">
      <c r="B13" s="63"/>
      <c r="C13" s="64"/>
      <c r="D13" s="64"/>
      <c r="E13" s="64"/>
      <c r="F13" s="64"/>
      <c r="G13" s="64"/>
      <c r="H13" s="65"/>
      <c r="I13" s="1"/>
      <c r="J13" s="1"/>
      <c r="L13" s="63"/>
      <c r="M13" s="64"/>
      <c r="N13" s="64"/>
      <c r="O13" s="64"/>
      <c r="P13" s="64"/>
      <c r="Q13" s="64"/>
      <c r="R13" s="65"/>
      <c r="V13" s="63"/>
      <c r="W13" s="64"/>
      <c r="X13" s="64"/>
      <c r="Y13" s="64"/>
      <c r="Z13" s="64"/>
      <c r="AA13" s="64"/>
      <c r="AB13" s="65"/>
      <c r="AF13" s="63"/>
      <c r="AG13" s="64"/>
      <c r="AH13" s="64"/>
      <c r="AI13" s="64"/>
      <c r="AJ13" s="64"/>
      <c r="AK13" s="64"/>
      <c r="AL13" s="65"/>
      <c r="AP13" s="63"/>
      <c r="AQ13" s="64"/>
      <c r="AR13" s="64"/>
      <c r="AS13" s="64"/>
      <c r="AT13" s="64"/>
      <c r="AU13" s="64"/>
      <c r="AV13" s="65"/>
      <c r="AZ13" s="63"/>
      <c r="BA13" s="64"/>
      <c r="BB13" s="64"/>
      <c r="BC13" s="64"/>
      <c r="BD13" s="64"/>
      <c r="BE13" s="64"/>
      <c r="BF13" s="65"/>
      <c r="BJ13" s="63"/>
      <c r="BK13" s="64"/>
      <c r="BL13" s="64"/>
      <c r="BM13" s="64"/>
      <c r="BN13" s="64"/>
      <c r="BO13" s="64"/>
      <c r="BP13" s="65"/>
    </row>
    <row r="14" spans="2:68" ht="9.9499999999999993" customHeight="1" x14ac:dyDescent="0.25">
      <c r="B14" s="63"/>
      <c r="C14" s="64"/>
      <c r="D14" s="64"/>
      <c r="E14" s="64"/>
      <c r="F14" s="64"/>
      <c r="G14" s="64"/>
      <c r="H14" s="65"/>
      <c r="I14" s="1"/>
      <c r="J14" s="1"/>
      <c r="L14" s="63"/>
      <c r="M14" s="64"/>
      <c r="N14" s="64"/>
      <c r="O14" s="64"/>
      <c r="P14" s="64"/>
      <c r="Q14" s="64"/>
      <c r="R14" s="65"/>
      <c r="V14" s="63"/>
      <c r="W14" s="64"/>
      <c r="X14" s="64"/>
      <c r="Y14" s="64"/>
      <c r="Z14" s="64"/>
      <c r="AA14" s="64"/>
      <c r="AB14" s="65"/>
      <c r="AC14" s="1"/>
      <c r="AF14" s="63"/>
      <c r="AG14" s="64"/>
      <c r="AH14" s="64"/>
      <c r="AI14" s="64"/>
      <c r="AJ14" s="64"/>
      <c r="AK14" s="64"/>
      <c r="AL14" s="65"/>
      <c r="AP14" s="63"/>
      <c r="AQ14" s="64"/>
      <c r="AR14" s="64"/>
      <c r="AS14" s="64"/>
      <c r="AT14" s="64"/>
      <c r="AU14" s="64"/>
      <c r="AV14" s="65"/>
      <c r="AZ14" s="63"/>
      <c r="BA14" s="64"/>
      <c r="BB14" s="64"/>
      <c r="BC14" s="64"/>
      <c r="BD14" s="64"/>
      <c r="BE14" s="64"/>
      <c r="BF14" s="65"/>
      <c r="BJ14" s="63"/>
      <c r="BK14" s="64"/>
      <c r="BL14" s="64"/>
      <c r="BM14" s="64"/>
      <c r="BN14" s="64"/>
      <c r="BO14" s="64"/>
      <c r="BP14" s="65"/>
    </row>
    <row r="15" spans="2:68" ht="9.9499999999999993" customHeight="1" x14ac:dyDescent="0.25">
      <c r="B15" s="63"/>
      <c r="C15" s="64"/>
      <c r="D15" s="64"/>
      <c r="E15" s="64"/>
      <c r="F15" s="64"/>
      <c r="G15" s="64"/>
      <c r="H15" s="65"/>
      <c r="I15" s="1"/>
      <c r="J15" s="1"/>
      <c r="L15" s="63"/>
      <c r="M15" s="64"/>
      <c r="N15" s="64"/>
      <c r="O15" s="64"/>
      <c r="P15" s="64"/>
      <c r="Q15" s="64"/>
      <c r="R15" s="65"/>
      <c r="V15" s="63"/>
      <c r="W15" s="64"/>
      <c r="X15" s="64"/>
      <c r="Y15" s="64"/>
      <c r="Z15" s="64"/>
      <c r="AA15" s="64"/>
      <c r="AB15" s="65"/>
      <c r="AF15" s="63"/>
      <c r="AG15" s="64"/>
      <c r="AH15" s="64"/>
      <c r="AI15" s="64"/>
      <c r="AJ15" s="64"/>
      <c r="AK15" s="64"/>
      <c r="AL15" s="65"/>
      <c r="AP15" s="63"/>
      <c r="AQ15" s="64"/>
      <c r="AR15" s="64"/>
      <c r="AS15" s="64"/>
      <c r="AT15" s="64"/>
      <c r="AU15" s="64"/>
      <c r="AV15" s="65"/>
      <c r="AZ15" s="63"/>
      <c r="BA15" s="64"/>
      <c r="BB15" s="64"/>
      <c r="BC15" s="64"/>
      <c r="BD15" s="64"/>
      <c r="BE15" s="64"/>
      <c r="BF15" s="65"/>
      <c r="BJ15" s="63"/>
      <c r="BK15" s="64"/>
      <c r="BL15" s="64"/>
      <c r="BM15" s="64"/>
      <c r="BN15" s="64"/>
      <c r="BO15" s="64"/>
      <c r="BP15" s="65"/>
    </row>
    <row r="16" spans="2:68" ht="9.9499999999999993" customHeight="1" x14ac:dyDescent="0.25">
      <c r="B16" s="63"/>
      <c r="C16" s="64"/>
      <c r="D16" s="64"/>
      <c r="E16" s="64"/>
      <c r="F16" s="64"/>
      <c r="G16" s="64"/>
      <c r="H16" s="65"/>
      <c r="I16" s="1"/>
      <c r="J16" s="1"/>
      <c r="L16" s="63"/>
      <c r="M16" s="64"/>
      <c r="N16" s="64"/>
      <c r="O16" s="64"/>
      <c r="P16" s="64"/>
      <c r="Q16" s="64"/>
      <c r="R16" s="65"/>
      <c r="V16" s="63"/>
      <c r="W16" s="64"/>
      <c r="X16" s="64"/>
      <c r="Y16" s="64"/>
      <c r="Z16" s="64"/>
      <c r="AA16" s="64"/>
      <c r="AB16" s="65"/>
      <c r="AC16" s="1"/>
      <c r="AF16" s="63"/>
      <c r="AG16" s="64"/>
      <c r="AH16" s="64"/>
      <c r="AI16" s="64"/>
      <c r="AJ16" s="64"/>
      <c r="AK16" s="64"/>
      <c r="AL16" s="65"/>
      <c r="AP16" s="63"/>
      <c r="AQ16" s="64"/>
      <c r="AR16" s="64"/>
      <c r="AS16" s="64"/>
      <c r="AT16" s="64"/>
      <c r="AU16" s="64"/>
      <c r="AV16" s="65"/>
      <c r="AZ16" s="63"/>
      <c r="BA16" s="64"/>
      <c r="BB16" s="64"/>
      <c r="BC16" s="64"/>
      <c r="BD16" s="64"/>
      <c r="BE16" s="64"/>
      <c r="BF16" s="65"/>
      <c r="BJ16" s="63"/>
      <c r="BK16" s="64"/>
      <c r="BL16" s="64"/>
      <c r="BM16" s="64"/>
      <c r="BN16" s="64"/>
      <c r="BO16" s="64"/>
      <c r="BP16" s="65"/>
    </row>
    <row r="17" spans="2:68" ht="9.9499999999999993" customHeight="1" x14ac:dyDescent="0.25">
      <c r="B17" s="63"/>
      <c r="C17" s="64"/>
      <c r="D17" s="64"/>
      <c r="E17" s="64"/>
      <c r="F17" s="64"/>
      <c r="G17" s="64"/>
      <c r="H17" s="65"/>
      <c r="I17" s="1"/>
      <c r="J17" s="1"/>
      <c r="L17" s="63"/>
      <c r="M17" s="64"/>
      <c r="N17" s="64"/>
      <c r="O17" s="64"/>
      <c r="P17" s="64"/>
      <c r="Q17" s="64"/>
      <c r="R17" s="65"/>
      <c r="V17" s="63"/>
      <c r="W17" s="64"/>
      <c r="X17" s="64"/>
      <c r="Y17" s="64"/>
      <c r="Z17" s="64"/>
      <c r="AA17" s="64"/>
      <c r="AB17" s="65"/>
      <c r="AF17" s="63"/>
      <c r="AG17" s="64"/>
      <c r="AH17" s="64"/>
      <c r="AI17" s="64"/>
      <c r="AJ17" s="64"/>
      <c r="AK17" s="64"/>
      <c r="AL17" s="65"/>
      <c r="AP17" s="63"/>
      <c r="AQ17" s="64"/>
      <c r="AR17" s="64"/>
      <c r="AS17" s="64"/>
      <c r="AT17" s="64"/>
      <c r="AU17" s="64"/>
      <c r="AV17" s="65"/>
      <c r="AZ17" s="63"/>
      <c r="BA17" s="64"/>
      <c r="BB17" s="64"/>
      <c r="BC17" s="64"/>
      <c r="BD17" s="64"/>
      <c r="BE17" s="64"/>
      <c r="BF17" s="65"/>
      <c r="BJ17" s="63"/>
      <c r="BK17" s="64"/>
      <c r="BL17" s="64"/>
      <c r="BM17" s="64"/>
      <c r="BN17" s="64"/>
      <c r="BO17" s="64"/>
      <c r="BP17" s="65"/>
    </row>
    <row r="18" spans="2:68" ht="9.9499999999999993" customHeight="1" x14ac:dyDescent="0.25">
      <c r="B18" s="63"/>
      <c r="C18" s="64"/>
      <c r="D18" s="64"/>
      <c r="E18" s="64"/>
      <c r="F18" s="64"/>
      <c r="G18" s="64"/>
      <c r="H18" s="65"/>
      <c r="I18" s="1"/>
      <c r="J18" s="1"/>
      <c r="L18" s="63"/>
      <c r="M18" s="64"/>
      <c r="N18" s="64"/>
      <c r="O18" s="64"/>
      <c r="P18" s="64"/>
      <c r="Q18" s="64"/>
      <c r="R18" s="65"/>
      <c r="V18" s="63"/>
      <c r="W18" s="64"/>
      <c r="X18" s="64"/>
      <c r="Y18" s="64"/>
      <c r="Z18" s="64"/>
      <c r="AA18" s="64"/>
      <c r="AB18" s="65"/>
      <c r="AC18" s="1"/>
      <c r="AF18" s="63"/>
      <c r="AG18" s="64"/>
      <c r="AH18" s="64"/>
      <c r="AI18" s="64"/>
      <c r="AJ18" s="64"/>
      <c r="AK18" s="64"/>
      <c r="AL18" s="65"/>
      <c r="AP18" s="63"/>
      <c r="AQ18" s="64"/>
      <c r="AR18" s="64"/>
      <c r="AS18" s="64"/>
      <c r="AT18" s="64"/>
      <c r="AU18" s="64"/>
      <c r="AV18" s="65"/>
      <c r="AZ18" s="63"/>
      <c r="BA18" s="64"/>
      <c r="BB18" s="64"/>
      <c r="BC18" s="64"/>
      <c r="BD18" s="64"/>
      <c r="BE18" s="64"/>
      <c r="BF18" s="65"/>
      <c r="BJ18" s="63"/>
      <c r="BK18" s="64"/>
      <c r="BL18" s="64"/>
      <c r="BM18" s="64"/>
      <c r="BN18" s="64"/>
      <c r="BO18" s="64"/>
      <c r="BP18" s="65"/>
    </row>
    <row r="19" spans="2:68" ht="9.9499999999999993" customHeight="1" x14ac:dyDescent="0.25">
      <c r="B19" s="63"/>
      <c r="C19" s="64"/>
      <c r="D19" s="64"/>
      <c r="E19" s="64"/>
      <c r="F19" s="64"/>
      <c r="G19" s="64"/>
      <c r="H19" s="65"/>
      <c r="I19" s="1"/>
      <c r="J19" s="1"/>
      <c r="L19" s="63"/>
      <c r="M19" s="64"/>
      <c r="N19" s="64"/>
      <c r="O19" s="64"/>
      <c r="P19" s="64"/>
      <c r="Q19" s="64"/>
      <c r="R19" s="65"/>
      <c r="V19" s="63"/>
      <c r="W19" s="64"/>
      <c r="X19" s="64"/>
      <c r="Y19" s="64"/>
      <c r="Z19" s="64"/>
      <c r="AA19" s="64"/>
      <c r="AB19" s="65"/>
      <c r="AF19" s="63"/>
      <c r="AG19" s="64"/>
      <c r="AH19" s="64"/>
      <c r="AI19" s="64"/>
      <c r="AJ19" s="64"/>
      <c r="AK19" s="64"/>
      <c r="AL19" s="65"/>
      <c r="AP19" s="63"/>
      <c r="AQ19" s="64"/>
      <c r="AR19" s="64"/>
      <c r="AS19" s="64"/>
      <c r="AT19" s="64"/>
      <c r="AU19" s="64"/>
      <c r="AV19" s="65"/>
      <c r="BJ19" s="63"/>
      <c r="BK19" s="64"/>
      <c r="BL19" s="64"/>
      <c r="BM19" s="64"/>
      <c r="BN19" s="64"/>
      <c r="BO19" s="64"/>
      <c r="BP19" s="65"/>
    </row>
    <row r="20" spans="2:68" ht="9.9499999999999993" customHeight="1" x14ac:dyDescent="0.25">
      <c r="B20" s="63"/>
      <c r="C20" s="64"/>
      <c r="D20" s="64"/>
      <c r="E20" s="64"/>
      <c r="F20" s="64"/>
      <c r="G20" s="64"/>
      <c r="H20" s="65"/>
      <c r="I20" s="1"/>
      <c r="J20" s="1"/>
      <c r="L20" s="63"/>
      <c r="M20" s="64"/>
      <c r="N20" s="64"/>
      <c r="O20" s="64"/>
      <c r="P20" s="64"/>
      <c r="Q20" s="64"/>
      <c r="R20" s="65"/>
      <c r="V20" s="63"/>
      <c r="W20" s="64"/>
      <c r="X20" s="64"/>
      <c r="Y20" s="64"/>
      <c r="Z20" s="64"/>
      <c r="AA20" s="64"/>
      <c r="AB20" s="65"/>
      <c r="AC20" s="1"/>
      <c r="AF20" s="63"/>
      <c r="AG20" s="64"/>
      <c r="AH20" s="64"/>
      <c r="AI20" s="64"/>
      <c r="AJ20" s="64"/>
      <c r="AK20" s="64"/>
      <c r="AL20" s="65"/>
      <c r="AP20" s="63"/>
      <c r="AQ20" s="64"/>
      <c r="AR20" s="64"/>
      <c r="AS20" s="64"/>
      <c r="AT20" s="64"/>
      <c r="AU20" s="64"/>
      <c r="AV20" s="65"/>
      <c r="BJ20" s="63"/>
      <c r="BK20" s="64"/>
      <c r="BL20" s="64"/>
      <c r="BM20" s="64"/>
      <c r="BN20" s="64"/>
      <c r="BO20" s="64"/>
      <c r="BP20" s="65"/>
    </row>
    <row r="21" spans="2:68" ht="9.9499999999999993" customHeight="1" x14ac:dyDescent="0.25">
      <c r="B21" s="63"/>
      <c r="C21" s="64"/>
      <c r="D21" s="64"/>
      <c r="E21" s="64"/>
      <c r="F21" s="64"/>
      <c r="G21" s="64"/>
      <c r="H21" s="65"/>
      <c r="I21" s="1"/>
      <c r="J21" s="1"/>
      <c r="L21" s="63"/>
      <c r="M21" s="64"/>
      <c r="N21" s="64"/>
      <c r="O21" s="64"/>
      <c r="P21" s="64"/>
      <c r="Q21" s="64"/>
      <c r="R21" s="65"/>
      <c r="V21" s="63"/>
      <c r="W21" s="64"/>
      <c r="X21" s="64"/>
      <c r="Y21" s="64"/>
      <c r="Z21" s="64"/>
      <c r="AA21" s="64"/>
      <c r="AB21" s="65"/>
      <c r="AF21" s="63"/>
      <c r="AG21" s="64"/>
      <c r="AH21" s="64"/>
      <c r="AI21" s="64"/>
      <c r="AJ21" s="64"/>
      <c r="AK21" s="64"/>
      <c r="AL21" s="65"/>
      <c r="AP21" s="63"/>
      <c r="AQ21" s="64"/>
      <c r="AR21" s="64"/>
      <c r="AS21" s="64"/>
      <c r="AT21" s="64"/>
      <c r="AU21" s="64"/>
      <c r="AV21" s="65"/>
      <c r="BJ21" s="63"/>
      <c r="BK21" s="64"/>
      <c r="BL21" s="64"/>
      <c r="BM21" s="64"/>
      <c r="BN21" s="64"/>
      <c r="BO21" s="64"/>
      <c r="BP21" s="65"/>
    </row>
    <row r="22" spans="2:68" ht="9.9499999999999993" customHeight="1" x14ac:dyDescent="0.25">
      <c r="B22" s="63"/>
      <c r="C22" s="64"/>
      <c r="D22" s="64"/>
      <c r="E22" s="64"/>
      <c r="F22" s="64"/>
      <c r="G22" s="64"/>
      <c r="H22" s="65"/>
      <c r="I22" s="1"/>
      <c r="J22" s="1"/>
      <c r="L22" s="63"/>
      <c r="M22" s="64"/>
      <c r="N22" s="64"/>
      <c r="O22" s="64"/>
      <c r="P22" s="64"/>
      <c r="Q22" s="64"/>
      <c r="R22" s="65"/>
      <c r="V22" s="63"/>
      <c r="W22" s="64"/>
      <c r="X22" s="64"/>
      <c r="Y22" s="64"/>
      <c r="Z22" s="64"/>
      <c r="AA22" s="64"/>
      <c r="AB22" s="65"/>
      <c r="AC22" s="1"/>
      <c r="AF22" s="63"/>
      <c r="AG22" s="64"/>
      <c r="AH22" s="64"/>
      <c r="AI22" s="64"/>
      <c r="AJ22" s="64"/>
      <c r="AK22" s="64"/>
      <c r="AL22" s="65"/>
      <c r="AP22" s="63"/>
      <c r="AQ22" s="64"/>
      <c r="AR22" s="64"/>
      <c r="AS22" s="64"/>
      <c r="AT22" s="64"/>
      <c r="AU22" s="64"/>
      <c r="AV22" s="65"/>
      <c r="BJ22" s="63"/>
      <c r="BK22" s="64"/>
      <c r="BL22" s="64"/>
      <c r="BM22" s="64"/>
      <c r="BN22" s="64"/>
      <c r="BO22" s="64"/>
      <c r="BP22" s="65"/>
    </row>
    <row r="23" spans="2:68" ht="9.9499999999999993" customHeight="1" x14ac:dyDescent="0.25">
      <c r="B23" s="63"/>
      <c r="C23" s="64"/>
      <c r="D23" s="64"/>
      <c r="E23" s="64"/>
      <c r="F23" s="64"/>
      <c r="G23" s="64"/>
      <c r="H23" s="65"/>
      <c r="I23" s="1"/>
      <c r="J23" s="1"/>
      <c r="L23" s="63"/>
      <c r="M23" s="64"/>
      <c r="N23" s="64"/>
      <c r="O23" s="64"/>
      <c r="P23" s="64"/>
      <c r="Q23" s="64"/>
      <c r="R23" s="65"/>
      <c r="V23" s="63"/>
      <c r="W23" s="64"/>
      <c r="X23" s="64"/>
      <c r="Y23" s="64"/>
      <c r="Z23" s="64"/>
      <c r="AA23" s="64"/>
      <c r="AB23" s="65"/>
      <c r="AF23" s="63"/>
      <c r="AG23" s="64"/>
      <c r="AH23" s="64"/>
      <c r="AI23" s="64"/>
      <c r="AJ23" s="64"/>
      <c r="AK23" s="64"/>
      <c r="AL23" s="65"/>
      <c r="AP23" s="63"/>
      <c r="AQ23" s="64"/>
      <c r="AR23" s="64"/>
      <c r="AS23" s="64"/>
      <c r="AT23" s="64"/>
      <c r="AU23" s="64"/>
      <c r="AV23" s="65"/>
      <c r="BJ23" s="63"/>
      <c r="BK23" s="64"/>
      <c r="BL23" s="64"/>
      <c r="BM23" s="64"/>
      <c r="BN23" s="64"/>
      <c r="BO23" s="64"/>
      <c r="BP23" s="65"/>
    </row>
    <row r="24" spans="2:68" ht="9.9499999999999993" customHeight="1" x14ac:dyDescent="0.25">
      <c r="B24" s="63"/>
      <c r="C24" s="64"/>
      <c r="D24" s="64"/>
      <c r="E24" s="64"/>
      <c r="F24" s="64"/>
      <c r="G24" s="64"/>
      <c r="H24" s="65"/>
      <c r="I24" s="1"/>
      <c r="J24" s="1"/>
      <c r="L24" s="63"/>
      <c r="M24" s="64"/>
      <c r="N24" s="64"/>
      <c r="O24" s="64"/>
      <c r="P24" s="64"/>
      <c r="Q24" s="64"/>
      <c r="R24" s="65"/>
      <c r="V24" s="63"/>
      <c r="W24" s="64"/>
      <c r="X24" s="64"/>
      <c r="Y24" s="64"/>
      <c r="Z24" s="64"/>
      <c r="AA24" s="64"/>
      <c r="AB24" s="65"/>
      <c r="AC24" s="1"/>
      <c r="AF24" s="63"/>
      <c r="AG24" s="64"/>
      <c r="AH24" s="64"/>
      <c r="AI24" s="64"/>
      <c r="AJ24" s="64"/>
      <c r="AK24" s="64"/>
      <c r="AL24" s="65"/>
      <c r="AP24" s="63"/>
      <c r="AQ24" s="64"/>
      <c r="AR24" s="64"/>
      <c r="AS24" s="64"/>
      <c r="AT24" s="64"/>
      <c r="AU24" s="64"/>
      <c r="AV24" s="65"/>
      <c r="BJ24" s="63"/>
      <c r="BK24" s="64"/>
      <c r="BL24" s="64"/>
      <c r="BM24" s="64"/>
      <c r="BN24" s="64"/>
      <c r="BO24" s="64"/>
      <c r="BP24" s="65"/>
    </row>
    <row r="25" spans="2:68" ht="9.9499999999999993" customHeight="1" x14ac:dyDescent="0.25">
      <c r="B25" s="63"/>
      <c r="C25" s="64"/>
      <c r="D25" s="64"/>
      <c r="E25" s="64"/>
      <c r="F25" s="64"/>
      <c r="G25" s="64"/>
      <c r="H25" s="65"/>
      <c r="I25" s="1"/>
      <c r="J25" s="1"/>
      <c r="L25" s="63"/>
      <c r="M25" s="64"/>
      <c r="N25" s="64"/>
      <c r="O25" s="64"/>
      <c r="P25" s="64"/>
      <c r="Q25" s="64"/>
      <c r="R25" s="65"/>
      <c r="V25" s="63"/>
      <c r="W25" s="64"/>
      <c r="X25" s="64"/>
      <c r="Y25" s="64"/>
      <c r="Z25" s="64"/>
      <c r="AA25" s="64"/>
      <c r="AB25" s="65"/>
      <c r="AC25" s="1"/>
      <c r="AF25" s="63"/>
      <c r="AG25" s="64"/>
      <c r="AH25" s="64"/>
      <c r="AI25" s="64"/>
      <c r="AJ25" s="64"/>
      <c r="AK25" s="64"/>
      <c r="AL25" s="65"/>
      <c r="AP25" s="63"/>
      <c r="AQ25" s="64"/>
      <c r="AR25" s="64"/>
      <c r="AS25" s="64"/>
      <c r="AT25" s="64"/>
      <c r="AU25" s="64"/>
      <c r="AV25" s="65"/>
      <c r="AZ25" s="157"/>
      <c r="BA25" s="157"/>
      <c r="BB25" s="157"/>
      <c r="BC25" s="157"/>
      <c r="BD25" s="157"/>
      <c r="BE25" s="157"/>
      <c r="BF25" s="158"/>
      <c r="BJ25" s="63"/>
      <c r="BK25" s="64"/>
      <c r="BL25" s="64"/>
      <c r="BM25" s="64"/>
      <c r="BN25" s="64"/>
      <c r="BO25" s="64"/>
      <c r="BP25" s="65"/>
    </row>
    <row r="26" spans="2:68" ht="9.9499999999999993" customHeight="1" x14ac:dyDescent="0.25">
      <c r="B26" s="63" t="s">
        <v>133</v>
      </c>
      <c r="C26" s="64"/>
      <c r="D26" s="64"/>
      <c r="E26" s="64"/>
      <c r="F26" s="64"/>
      <c r="G26" s="64"/>
      <c r="H26" s="65"/>
      <c r="I26" s="1"/>
      <c r="J26" s="1"/>
      <c r="K26" s="52"/>
      <c r="L26" s="63" t="s">
        <v>133</v>
      </c>
      <c r="M26" s="64"/>
      <c r="N26" s="64"/>
      <c r="O26" s="64"/>
      <c r="P26" s="64"/>
      <c r="Q26" s="64"/>
      <c r="R26" s="65"/>
      <c r="U26" s="52"/>
      <c r="V26" s="63" t="s">
        <v>133</v>
      </c>
      <c r="W26" s="64"/>
      <c r="X26" s="64"/>
      <c r="Y26" s="64"/>
      <c r="Z26" s="64"/>
      <c r="AA26" s="64"/>
      <c r="AB26" s="65"/>
      <c r="AC26" s="1"/>
      <c r="AE26" s="52"/>
      <c r="AF26" s="63" t="s">
        <v>133</v>
      </c>
      <c r="AG26" s="64"/>
      <c r="AH26" s="64"/>
      <c r="AI26" s="64"/>
      <c r="AJ26" s="64"/>
      <c r="AK26" s="64"/>
      <c r="AL26" s="65"/>
      <c r="AO26" s="52"/>
      <c r="AP26" s="63" t="s">
        <v>133</v>
      </c>
      <c r="AQ26" s="64"/>
      <c r="AR26" s="64"/>
      <c r="AS26" s="64"/>
      <c r="AT26" s="64"/>
      <c r="AU26" s="64"/>
      <c r="AV26" s="65"/>
      <c r="AY26" s="52"/>
      <c r="AZ26" s="63" t="s">
        <v>133</v>
      </c>
      <c r="BA26" s="64"/>
      <c r="BB26" s="64"/>
      <c r="BC26" s="64"/>
      <c r="BD26" s="64"/>
      <c r="BE26" s="64"/>
      <c r="BF26" s="65"/>
      <c r="BJ26" s="63"/>
      <c r="BK26" s="64"/>
      <c r="BL26" s="64"/>
      <c r="BM26" s="64"/>
      <c r="BN26" s="64"/>
      <c r="BO26" s="64"/>
      <c r="BP26" s="65"/>
    </row>
    <row r="27" spans="2:68" ht="9.9499999999999993" customHeight="1" x14ac:dyDescent="0.25">
      <c r="B27" s="66" t="s">
        <v>298</v>
      </c>
      <c r="C27" s="67"/>
      <c r="D27" s="67"/>
      <c r="E27" s="67"/>
      <c r="F27" s="67"/>
      <c r="G27" s="67"/>
      <c r="H27" s="68"/>
      <c r="I27" s="1"/>
      <c r="J27" s="1"/>
      <c r="K27" s="54"/>
      <c r="L27" s="66" t="s">
        <v>288</v>
      </c>
      <c r="M27" s="67"/>
      <c r="N27" s="67"/>
      <c r="O27" s="67"/>
      <c r="P27" s="67"/>
      <c r="Q27" s="67"/>
      <c r="R27" s="68"/>
      <c r="U27" s="54"/>
      <c r="V27" s="66" t="s">
        <v>229</v>
      </c>
      <c r="W27" s="67"/>
      <c r="X27" s="67"/>
      <c r="Y27" s="67"/>
      <c r="Z27" s="67"/>
      <c r="AA27" s="67"/>
      <c r="AB27" s="68"/>
      <c r="AC27" s="1"/>
      <c r="AE27" s="54"/>
      <c r="AF27" s="66" t="s">
        <v>347</v>
      </c>
      <c r="AG27" s="67"/>
      <c r="AH27" s="67"/>
      <c r="AI27" s="67"/>
      <c r="AJ27" s="67"/>
      <c r="AK27" s="67"/>
      <c r="AL27" s="68"/>
      <c r="AO27" s="54"/>
      <c r="AP27" s="66" t="s">
        <v>177</v>
      </c>
      <c r="AQ27" s="67"/>
      <c r="AR27" s="67"/>
      <c r="AS27" s="67"/>
      <c r="AT27" s="67"/>
      <c r="AU27" s="67"/>
      <c r="AV27" s="68"/>
      <c r="AY27" s="54"/>
      <c r="AZ27" s="66" t="s">
        <v>166</v>
      </c>
      <c r="BA27" s="67"/>
      <c r="BB27" s="67"/>
      <c r="BC27" s="67"/>
      <c r="BD27" s="67"/>
      <c r="BE27" s="67"/>
      <c r="BF27" s="68"/>
      <c r="BI27" s="92"/>
      <c r="BJ27" s="63" t="s">
        <v>133</v>
      </c>
      <c r="BK27" s="64"/>
      <c r="BL27" s="64"/>
      <c r="BM27" s="64"/>
      <c r="BN27" s="64"/>
      <c r="BO27" s="64"/>
      <c r="BP27" s="65"/>
    </row>
    <row r="28" spans="2:68" ht="9.9499999999999993" customHeight="1" x14ac:dyDescent="0.25">
      <c r="W28" s="42"/>
    </row>
    <row r="31" spans="2:68" ht="9.9499999999999993" customHeight="1" x14ac:dyDescent="0.25">
      <c r="B31" s="69" t="s">
        <v>224</v>
      </c>
      <c r="C31" s="70"/>
      <c r="D31" s="70"/>
      <c r="E31" s="70"/>
      <c r="F31" s="70"/>
      <c r="G31" s="70"/>
      <c r="H31" s="71"/>
      <c r="I31" s="11"/>
      <c r="J31" s="11"/>
      <c r="K31" s="11"/>
      <c r="L31" s="69" t="s">
        <v>222</v>
      </c>
      <c r="M31" s="70"/>
      <c r="N31" s="70"/>
      <c r="O31" s="70"/>
      <c r="P31" s="70"/>
      <c r="Q31" s="70"/>
      <c r="R31" s="71"/>
      <c r="S31" s="11"/>
      <c r="T31" s="11"/>
      <c r="U31" s="11"/>
      <c r="V31" s="69" t="s">
        <v>217</v>
      </c>
      <c r="W31" s="70"/>
      <c r="X31" s="70"/>
      <c r="Y31" s="70"/>
      <c r="Z31" s="70"/>
      <c r="AA31" s="70"/>
      <c r="AB31" s="71"/>
      <c r="AC31" s="11"/>
      <c r="AD31" s="11"/>
      <c r="AE31" s="11"/>
      <c r="AF31" s="69" t="s">
        <v>227</v>
      </c>
      <c r="AG31" s="70"/>
      <c r="AH31" s="70"/>
      <c r="AI31" s="70"/>
      <c r="AJ31" s="70"/>
      <c r="AK31" s="70"/>
      <c r="AL31" s="71"/>
      <c r="AM31" s="11"/>
      <c r="AN31" s="11"/>
      <c r="AO31" s="11"/>
      <c r="AP31" s="69" t="s">
        <v>212</v>
      </c>
      <c r="AQ31" s="70"/>
      <c r="AR31" s="70"/>
      <c r="AS31" s="70"/>
      <c r="AT31" s="70"/>
      <c r="AU31" s="70"/>
      <c r="AV31" s="71"/>
      <c r="AW31" s="11"/>
      <c r="AX31" s="11"/>
      <c r="AY31" s="11"/>
      <c r="AZ31" s="69" t="s">
        <v>214</v>
      </c>
      <c r="BA31" s="70"/>
      <c r="BB31" s="70"/>
      <c r="BC31" s="70"/>
      <c r="BD31" s="70"/>
      <c r="BE31" s="70"/>
      <c r="BF31" s="71"/>
      <c r="BJ31" s="102" t="s">
        <v>401</v>
      </c>
      <c r="BK31" s="103"/>
      <c r="BL31" s="103"/>
      <c r="BM31" s="103"/>
      <c r="BN31" s="103"/>
      <c r="BO31" s="103"/>
      <c r="BP31" s="104"/>
    </row>
    <row r="32" spans="2:68" ht="9.9499999999999993" customHeight="1" x14ac:dyDescent="0.25">
      <c r="B32" s="96" t="s">
        <v>60</v>
      </c>
      <c r="C32" s="97"/>
      <c r="D32" s="97"/>
      <c r="E32" s="97"/>
      <c r="F32" s="97"/>
      <c r="G32" s="97"/>
      <c r="H32" s="98"/>
      <c r="K32" s="91"/>
      <c r="L32" s="96" t="s">
        <v>60</v>
      </c>
      <c r="M32" s="97"/>
      <c r="N32" s="97"/>
      <c r="O32" s="97"/>
      <c r="P32" s="97"/>
      <c r="Q32" s="97"/>
      <c r="R32" s="98"/>
      <c r="U32" s="91"/>
      <c r="V32" s="72" t="s">
        <v>60</v>
      </c>
      <c r="W32" s="73"/>
      <c r="X32" s="73"/>
      <c r="Y32" s="73"/>
      <c r="Z32" s="73"/>
      <c r="AA32" s="73"/>
      <c r="AB32" s="74"/>
      <c r="AE32" s="91"/>
      <c r="AF32" s="72" t="s">
        <v>60</v>
      </c>
      <c r="AG32" s="73"/>
      <c r="AH32" s="73"/>
      <c r="AI32" s="73"/>
      <c r="AJ32" s="73"/>
      <c r="AK32" s="73"/>
      <c r="AL32" s="74"/>
      <c r="AO32" s="91"/>
      <c r="AP32" s="96" t="s">
        <v>60</v>
      </c>
      <c r="AQ32" s="97"/>
      <c r="AR32" s="97"/>
      <c r="AS32" s="97"/>
      <c r="AT32" s="97"/>
      <c r="AU32" s="97"/>
      <c r="AV32" s="98"/>
      <c r="AY32" s="91"/>
      <c r="AZ32" s="96" t="s">
        <v>60</v>
      </c>
      <c r="BA32" s="97"/>
      <c r="BB32" s="97"/>
      <c r="BC32" s="97"/>
      <c r="BD32" s="97"/>
      <c r="BE32" s="97"/>
      <c r="BF32" s="98"/>
      <c r="BI32" s="91"/>
      <c r="BJ32" s="96" t="s">
        <v>60</v>
      </c>
      <c r="BK32" s="97"/>
      <c r="BL32" s="97"/>
      <c r="BM32" s="97"/>
      <c r="BN32" s="97"/>
      <c r="BO32" s="97"/>
      <c r="BP32" s="98"/>
    </row>
    <row r="33" spans="2:68" ht="9.9499999999999993" customHeight="1" x14ac:dyDescent="0.25">
      <c r="B33" s="81" t="s">
        <v>140</v>
      </c>
      <c r="C33" s="82"/>
      <c r="D33" s="82"/>
      <c r="E33" s="82"/>
      <c r="F33" s="82"/>
      <c r="G33" s="82"/>
      <c r="H33" s="83"/>
      <c r="I33" s="48"/>
      <c r="J33" s="48"/>
      <c r="K33" s="105"/>
      <c r="L33" s="81" t="s">
        <v>140</v>
      </c>
      <c r="M33" s="82"/>
      <c r="N33" s="82"/>
      <c r="O33" s="82"/>
      <c r="P33" s="82"/>
      <c r="Q33" s="82"/>
      <c r="R33" s="83"/>
      <c r="S33" s="48"/>
      <c r="T33" s="48"/>
      <c r="U33" s="105"/>
      <c r="V33" s="81" t="s">
        <v>140</v>
      </c>
      <c r="W33" s="82"/>
      <c r="X33" s="82"/>
      <c r="Y33" s="82"/>
      <c r="Z33" s="82"/>
      <c r="AA33" s="82"/>
      <c r="AB33" s="83"/>
      <c r="AC33" s="48"/>
      <c r="AD33" s="48"/>
      <c r="AE33" s="105"/>
      <c r="AF33" s="81" t="s">
        <v>140</v>
      </c>
      <c r="AG33" s="82"/>
      <c r="AH33" s="82"/>
      <c r="AI33" s="82"/>
      <c r="AJ33" s="82"/>
      <c r="AK33" s="82"/>
      <c r="AL33" s="83"/>
      <c r="AO33" s="92"/>
      <c r="AP33" s="81" t="s">
        <v>140</v>
      </c>
      <c r="AQ33" s="82"/>
      <c r="AR33" s="82"/>
      <c r="AS33" s="82"/>
      <c r="AT33" s="82"/>
      <c r="AU33" s="82"/>
      <c r="AV33" s="83"/>
      <c r="AY33" s="92"/>
      <c r="AZ33" s="81" t="s">
        <v>140</v>
      </c>
      <c r="BA33" s="82"/>
      <c r="BB33" s="82"/>
      <c r="BC33" s="82"/>
      <c r="BD33" s="82"/>
      <c r="BE33" s="82"/>
      <c r="BF33" s="83"/>
      <c r="BI33" s="92"/>
      <c r="BJ33" s="81" t="s">
        <v>140</v>
      </c>
      <c r="BK33" s="82"/>
      <c r="BL33" s="82"/>
      <c r="BM33" s="82"/>
      <c r="BN33" s="82"/>
      <c r="BO33" s="82"/>
      <c r="BP33" s="83"/>
    </row>
    <row r="34" spans="2:68" ht="9.9499999999999993" customHeight="1" x14ac:dyDescent="0.25">
      <c r="B34" s="81" t="s">
        <v>187</v>
      </c>
      <c r="C34" s="82"/>
      <c r="D34" s="82"/>
      <c r="E34" s="82"/>
      <c r="F34" s="82"/>
      <c r="G34" s="82"/>
      <c r="H34" s="83"/>
      <c r="I34" s="48"/>
      <c r="J34" s="48"/>
      <c r="K34" s="105"/>
      <c r="L34" s="81" t="s">
        <v>187</v>
      </c>
      <c r="M34" s="82"/>
      <c r="N34" s="82"/>
      <c r="O34" s="82"/>
      <c r="P34" s="82"/>
      <c r="Q34" s="82"/>
      <c r="R34" s="83"/>
      <c r="S34" s="48"/>
      <c r="T34" s="48"/>
      <c r="U34" s="105"/>
      <c r="V34" s="81" t="s">
        <v>187</v>
      </c>
      <c r="W34" s="82"/>
      <c r="X34" s="82"/>
      <c r="Y34" s="82"/>
      <c r="Z34" s="82"/>
      <c r="AA34" s="82"/>
      <c r="AB34" s="83"/>
      <c r="AC34" s="48"/>
      <c r="AD34" s="48"/>
      <c r="AE34" s="105"/>
      <c r="AF34" s="81" t="s">
        <v>187</v>
      </c>
      <c r="AG34" s="82"/>
      <c r="AH34" s="82"/>
      <c r="AI34" s="82"/>
      <c r="AJ34" s="82"/>
      <c r="AK34" s="82"/>
      <c r="AL34" s="83"/>
      <c r="AO34" s="54"/>
      <c r="AP34" s="63" t="s">
        <v>93</v>
      </c>
      <c r="AQ34" s="64"/>
      <c r="AR34" s="64"/>
      <c r="AS34" s="64"/>
      <c r="AT34" s="64"/>
      <c r="AU34" s="64"/>
      <c r="AV34" s="65"/>
      <c r="AY34" s="92"/>
      <c r="AZ34" s="81" t="s">
        <v>187</v>
      </c>
      <c r="BA34" s="82"/>
      <c r="BB34" s="82"/>
      <c r="BC34" s="82"/>
      <c r="BD34" s="82"/>
      <c r="BE34" s="82"/>
      <c r="BF34" s="83"/>
      <c r="BI34" s="92"/>
      <c r="BJ34" s="81" t="s">
        <v>187</v>
      </c>
      <c r="BK34" s="82"/>
      <c r="BL34" s="82"/>
      <c r="BM34" s="82"/>
      <c r="BN34" s="82"/>
      <c r="BO34" s="82"/>
      <c r="BP34" s="83"/>
    </row>
    <row r="35" spans="2:68" ht="9.9499999999999993" customHeight="1" x14ac:dyDescent="0.25">
      <c r="B35" s="81" t="s">
        <v>402</v>
      </c>
      <c r="C35" s="82"/>
      <c r="D35" s="82"/>
      <c r="E35" s="82"/>
      <c r="F35" s="82"/>
      <c r="G35" s="82"/>
      <c r="H35" s="83"/>
      <c r="L35" s="75"/>
      <c r="M35" s="76"/>
      <c r="N35" s="76"/>
      <c r="O35" s="76"/>
      <c r="P35" s="76"/>
      <c r="Q35" s="76"/>
      <c r="R35" s="77"/>
      <c r="V35" s="75"/>
      <c r="W35" s="76"/>
      <c r="X35" s="76"/>
      <c r="Y35" s="76"/>
      <c r="Z35" s="76"/>
      <c r="AA35" s="76"/>
      <c r="AB35" s="77"/>
      <c r="AF35" s="75"/>
      <c r="AG35" s="76"/>
      <c r="AH35" s="76"/>
      <c r="AI35" s="76"/>
      <c r="AJ35" s="76"/>
      <c r="AK35" s="76"/>
      <c r="AL35" s="77"/>
      <c r="AO35" s="54"/>
      <c r="AP35" s="63" t="s">
        <v>94</v>
      </c>
      <c r="AQ35" s="64"/>
      <c r="AR35" s="64"/>
      <c r="AS35" s="64"/>
      <c r="AT35" s="64"/>
      <c r="AU35" s="64"/>
      <c r="AV35" s="65"/>
      <c r="AZ35" s="75"/>
      <c r="BA35" s="76"/>
      <c r="BB35" s="76"/>
      <c r="BC35" s="76"/>
      <c r="BD35" s="76"/>
      <c r="BE35" s="76"/>
      <c r="BF35" s="77"/>
      <c r="BJ35" s="75"/>
      <c r="BK35" s="76"/>
      <c r="BL35" s="76"/>
      <c r="BM35" s="76"/>
      <c r="BN35" s="76"/>
      <c r="BO35" s="76"/>
      <c r="BP35" s="77"/>
    </row>
    <row r="36" spans="2:68" ht="9.9499999999999993" customHeight="1" x14ac:dyDescent="0.25">
      <c r="B36" s="81" t="s">
        <v>403</v>
      </c>
      <c r="C36" s="82"/>
      <c r="D36" s="82"/>
      <c r="E36" s="82"/>
      <c r="F36" s="82"/>
      <c r="G36" s="82"/>
      <c r="H36" s="83"/>
      <c r="L36" s="63"/>
      <c r="M36" s="64"/>
      <c r="N36" s="64"/>
      <c r="O36" s="64"/>
      <c r="P36" s="64"/>
      <c r="Q36" s="64"/>
      <c r="R36" s="65"/>
      <c r="V36" s="63"/>
      <c r="W36" s="64"/>
      <c r="X36" s="64"/>
      <c r="Y36" s="64"/>
      <c r="Z36" s="64"/>
      <c r="AA36" s="64"/>
      <c r="AB36" s="65"/>
      <c r="AF36" s="75"/>
      <c r="AG36" s="76"/>
      <c r="AH36" s="76"/>
      <c r="AI36" s="76"/>
      <c r="AJ36" s="76"/>
      <c r="AK36" s="76"/>
      <c r="AL36" s="77"/>
      <c r="AO36" s="54"/>
      <c r="AP36" s="63" t="s">
        <v>95</v>
      </c>
      <c r="AQ36" s="64"/>
      <c r="AR36" s="64"/>
      <c r="AS36" s="64"/>
      <c r="AT36" s="64"/>
      <c r="AU36" s="64"/>
      <c r="AV36" s="65"/>
      <c r="AZ36" s="75"/>
      <c r="BA36" s="76"/>
      <c r="BB36" s="76"/>
      <c r="BC36" s="76"/>
      <c r="BD36" s="76"/>
      <c r="BE36" s="76"/>
      <c r="BF36" s="77"/>
      <c r="BJ36" s="63"/>
      <c r="BK36" s="64"/>
      <c r="BL36" s="64"/>
      <c r="BM36" s="64"/>
      <c r="BN36" s="64"/>
      <c r="BO36" s="64"/>
      <c r="BP36" s="65"/>
    </row>
    <row r="37" spans="2:68" ht="9.9499999999999993" customHeight="1" x14ac:dyDescent="0.25">
      <c r="B37" s="81" t="s">
        <v>404</v>
      </c>
      <c r="C37" s="82"/>
      <c r="D37" s="82"/>
      <c r="E37" s="82"/>
      <c r="F37" s="82"/>
      <c r="G37" s="82"/>
      <c r="H37" s="83"/>
      <c r="L37" s="63"/>
      <c r="M37" s="64"/>
      <c r="N37" s="64"/>
      <c r="O37" s="64"/>
      <c r="P37" s="64"/>
      <c r="Q37" s="64"/>
      <c r="R37" s="65"/>
      <c r="V37" s="63"/>
      <c r="W37" s="64"/>
      <c r="X37" s="64"/>
      <c r="Y37" s="64"/>
      <c r="Z37" s="64"/>
      <c r="AA37" s="64"/>
      <c r="AB37" s="65"/>
      <c r="AF37" s="75"/>
      <c r="AG37" s="76"/>
      <c r="AH37" s="76"/>
      <c r="AI37" s="76"/>
      <c r="AJ37" s="76"/>
      <c r="AK37" s="76"/>
      <c r="AL37" s="77"/>
      <c r="AO37" s="54"/>
      <c r="AP37" s="63" t="s">
        <v>132</v>
      </c>
      <c r="AQ37" s="64"/>
      <c r="AR37" s="64"/>
      <c r="AS37" s="64"/>
      <c r="AT37" s="64"/>
      <c r="AU37" s="64"/>
      <c r="AV37" s="65"/>
      <c r="AZ37" s="157"/>
      <c r="BA37" s="157"/>
      <c r="BB37" s="157"/>
      <c r="BC37" s="157"/>
      <c r="BD37" s="157"/>
      <c r="BE37" s="157"/>
      <c r="BF37" s="158"/>
      <c r="BJ37" s="63"/>
      <c r="BK37" s="64"/>
      <c r="BL37" s="64"/>
      <c r="BM37" s="64"/>
      <c r="BN37" s="64"/>
      <c r="BO37" s="64"/>
      <c r="BP37" s="65"/>
    </row>
    <row r="38" spans="2:68" ht="9.9499999999999993" customHeight="1" x14ac:dyDescent="0.25">
      <c r="B38" s="63"/>
      <c r="C38" s="64"/>
      <c r="D38" s="64"/>
      <c r="E38" s="64"/>
      <c r="F38" s="64"/>
      <c r="G38" s="64"/>
      <c r="H38" s="65"/>
      <c r="L38" s="63"/>
      <c r="M38" s="64"/>
      <c r="N38" s="64"/>
      <c r="O38" s="64"/>
      <c r="P38" s="64"/>
      <c r="Q38" s="64"/>
      <c r="R38" s="65"/>
      <c r="V38" s="63"/>
      <c r="W38" s="64"/>
      <c r="X38" s="64"/>
      <c r="Y38" s="64"/>
      <c r="Z38" s="64"/>
      <c r="AA38" s="64"/>
      <c r="AB38" s="65"/>
      <c r="AF38" s="63"/>
      <c r="AG38" s="64"/>
      <c r="AH38" s="64"/>
      <c r="AI38" s="64"/>
      <c r="AJ38" s="64"/>
      <c r="AK38" s="64"/>
      <c r="AL38" s="65"/>
      <c r="AO38" s="54"/>
      <c r="AP38" s="63" t="s">
        <v>136</v>
      </c>
      <c r="AQ38" s="64"/>
      <c r="AR38" s="64"/>
      <c r="AS38" s="64"/>
      <c r="AT38" s="64"/>
      <c r="AU38" s="64"/>
      <c r="AV38" s="65"/>
      <c r="BJ38" s="75"/>
      <c r="BK38" s="76"/>
      <c r="BL38" s="76"/>
      <c r="BM38" s="76"/>
      <c r="BN38" s="76"/>
      <c r="BO38" s="76"/>
      <c r="BP38" s="77"/>
    </row>
    <row r="39" spans="2:68" ht="9.9499999999999993" customHeight="1" x14ac:dyDescent="0.25">
      <c r="B39" s="63"/>
      <c r="C39" s="64"/>
      <c r="D39" s="64"/>
      <c r="E39" s="64"/>
      <c r="F39" s="64"/>
      <c r="G39" s="64"/>
      <c r="H39" s="65"/>
      <c r="L39" s="63"/>
      <c r="M39" s="64"/>
      <c r="N39" s="64"/>
      <c r="O39" s="64"/>
      <c r="P39" s="64"/>
      <c r="Q39" s="64"/>
      <c r="R39" s="65"/>
      <c r="V39" s="63"/>
      <c r="W39" s="64"/>
      <c r="X39" s="64"/>
      <c r="Y39" s="64"/>
      <c r="Z39" s="64"/>
      <c r="AA39" s="64"/>
      <c r="AB39" s="65"/>
      <c r="AF39" s="63"/>
      <c r="AG39" s="64"/>
      <c r="AH39" s="64"/>
      <c r="AI39" s="64"/>
      <c r="AJ39" s="64"/>
      <c r="AK39" s="64"/>
      <c r="AL39" s="65"/>
      <c r="AO39" s="109"/>
      <c r="AP39" s="75"/>
      <c r="AQ39" s="76"/>
      <c r="AR39" s="76"/>
      <c r="AS39" s="76"/>
      <c r="AT39" s="76"/>
      <c r="AU39" s="76"/>
      <c r="AV39" s="77"/>
      <c r="AZ39" s="157" t="s">
        <v>514</v>
      </c>
      <c r="BA39" s="157"/>
      <c r="BB39" s="157"/>
      <c r="BC39" s="157"/>
      <c r="BD39" s="157"/>
      <c r="BE39" s="157"/>
      <c r="BF39" s="158"/>
      <c r="BJ39" s="63"/>
      <c r="BK39" s="64"/>
      <c r="BL39" s="64"/>
      <c r="BM39" s="64"/>
      <c r="BN39" s="64"/>
      <c r="BO39" s="64"/>
      <c r="BP39" s="65"/>
    </row>
    <row r="40" spans="2:68" ht="9.9499999999999993" customHeight="1" x14ac:dyDescent="0.25">
      <c r="B40" s="81" t="s">
        <v>405</v>
      </c>
      <c r="C40" s="82"/>
      <c r="D40" s="82"/>
      <c r="E40" s="82"/>
      <c r="F40" s="82"/>
      <c r="G40" s="82"/>
      <c r="H40" s="83"/>
      <c r="L40" s="63"/>
      <c r="M40" s="64"/>
      <c r="N40" s="64"/>
      <c r="O40" s="64"/>
      <c r="P40" s="64"/>
      <c r="Q40" s="64"/>
      <c r="R40" s="65"/>
      <c r="V40" s="63"/>
      <c r="W40" s="64"/>
      <c r="X40" s="64"/>
      <c r="Y40" s="64"/>
      <c r="Z40" s="64"/>
      <c r="AA40" s="64"/>
      <c r="AB40" s="65"/>
      <c r="AF40" s="63" t="s">
        <v>358</v>
      </c>
      <c r="AG40" s="64"/>
      <c r="AH40" s="64"/>
      <c r="AI40" s="64"/>
      <c r="AJ40" s="64"/>
      <c r="AK40" s="64"/>
      <c r="AL40" s="65"/>
      <c r="AO40" s="109"/>
      <c r="AP40" s="75"/>
      <c r="AQ40" s="76"/>
      <c r="AR40" s="76"/>
      <c r="AS40" s="76"/>
      <c r="AT40" s="76"/>
      <c r="AU40" s="76"/>
      <c r="AV40" s="77"/>
      <c r="AZ40" s="75" t="s">
        <v>193</v>
      </c>
      <c r="BA40" s="76"/>
      <c r="BB40" s="76"/>
      <c r="BC40" s="76"/>
      <c r="BD40" s="76"/>
      <c r="BE40" s="76"/>
      <c r="BF40" s="77"/>
      <c r="BJ40" s="75"/>
      <c r="BK40" s="76"/>
      <c r="BL40" s="76"/>
      <c r="BM40" s="76"/>
      <c r="BN40" s="76"/>
      <c r="BO40" s="76"/>
      <c r="BP40" s="77"/>
    </row>
    <row r="41" spans="2:68" ht="9.9499999999999993" customHeight="1" x14ac:dyDescent="0.25">
      <c r="B41" s="81" t="s">
        <v>406</v>
      </c>
      <c r="C41" s="82"/>
      <c r="D41" s="82"/>
      <c r="E41" s="82"/>
      <c r="F41" s="82"/>
      <c r="G41" s="82"/>
      <c r="H41" s="83"/>
      <c r="L41" s="63"/>
      <c r="M41" s="64"/>
      <c r="N41" s="64"/>
      <c r="O41" s="64"/>
      <c r="P41" s="64"/>
      <c r="Q41" s="64"/>
      <c r="R41" s="65"/>
      <c r="V41" s="63"/>
      <c r="W41" s="64"/>
      <c r="X41" s="64"/>
      <c r="Y41" s="64"/>
      <c r="Z41" s="64"/>
      <c r="AA41" s="64"/>
      <c r="AB41" s="65"/>
      <c r="AF41" s="63" t="s">
        <v>229</v>
      </c>
      <c r="AG41" s="64"/>
      <c r="AH41" s="64"/>
      <c r="AI41" s="64"/>
      <c r="AJ41" s="64"/>
      <c r="AK41" s="64"/>
      <c r="AL41" s="65"/>
      <c r="AP41" s="75"/>
      <c r="AQ41" s="76"/>
      <c r="AR41" s="76"/>
      <c r="AS41" s="76"/>
      <c r="AT41" s="76"/>
      <c r="AU41" s="76"/>
      <c r="AV41" s="77"/>
      <c r="AZ41" s="75" t="s">
        <v>194</v>
      </c>
      <c r="BA41" s="76"/>
      <c r="BB41" s="76"/>
      <c r="BC41" s="76"/>
      <c r="BD41" s="76"/>
      <c r="BE41" s="76"/>
      <c r="BF41" s="77"/>
      <c r="BJ41" s="63"/>
      <c r="BK41" s="64"/>
      <c r="BL41" s="64"/>
      <c r="BM41" s="64"/>
      <c r="BN41" s="64"/>
      <c r="BO41" s="64"/>
      <c r="BP41" s="65"/>
    </row>
    <row r="42" spans="2:68" ht="9.9499999999999993" customHeight="1" x14ac:dyDescent="0.25">
      <c r="B42" s="63" t="s">
        <v>194</v>
      </c>
      <c r="C42" s="64"/>
      <c r="D42" s="64"/>
      <c r="E42" s="64"/>
      <c r="F42" s="64"/>
      <c r="G42" s="64"/>
      <c r="H42" s="65"/>
      <c r="L42" s="63" t="s">
        <v>193</v>
      </c>
      <c r="M42" s="64"/>
      <c r="N42" s="64"/>
      <c r="O42" s="64"/>
      <c r="P42" s="64"/>
      <c r="Q42" s="64"/>
      <c r="R42" s="65"/>
      <c r="V42" s="63" t="s">
        <v>195</v>
      </c>
      <c r="W42" s="64"/>
      <c r="X42" s="64"/>
      <c r="Y42" s="64"/>
      <c r="Z42" s="64"/>
      <c r="AA42" s="64"/>
      <c r="AB42" s="65"/>
      <c r="AF42" s="63" t="s">
        <v>288</v>
      </c>
      <c r="AG42" s="64"/>
      <c r="AH42" s="64"/>
      <c r="AI42" s="64"/>
      <c r="AJ42" s="64"/>
      <c r="AK42" s="64"/>
      <c r="AL42" s="65"/>
      <c r="AP42" s="66"/>
      <c r="AQ42" s="67"/>
      <c r="AR42" s="67"/>
      <c r="AS42" s="67"/>
      <c r="AT42" s="67"/>
      <c r="AU42" s="67"/>
      <c r="AV42" s="68"/>
      <c r="AZ42" s="75" t="s">
        <v>195</v>
      </c>
      <c r="BA42" s="76"/>
      <c r="BB42" s="76"/>
      <c r="BC42" s="76"/>
      <c r="BD42" s="76"/>
      <c r="BE42" s="76"/>
      <c r="BF42" s="77"/>
      <c r="BJ42" s="66"/>
      <c r="BK42" s="67"/>
      <c r="BL42" s="67"/>
      <c r="BM42" s="67"/>
      <c r="BN42" s="67"/>
      <c r="BO42" s="67"/>
      <c r="BP42" s="68"/>
    </row>
  </sheetData>
  <mergeCells count="259">
    <mergeCell ref="BJ22:BP22"/>
    <mergeCell ref="AZ37:BF37"/>
    <mergeCell ref="B22:H22"/>
    <mergeCell ref="L22:R22"/>
    <mergeCell ref="V22:AB22"/>
    <mergeCell ref="AF22:AL22"/>
    <mergeCell ref="AP22:AV22"/>
    <mergeCell ref="BJ20:BP20"/>
    <mergeCell ref="B21:H21"/>
    <mergeCell ref="L21:R21"/>
    <mergeCell ref="V21:AB21"/>
    <mergeCell ref="AF21:AL21"/>
    <mergeCell ref="AP21:AV21"/>
    <mergeCell ref="BJ21:BP21"/>
    <mergeCell ref="B20:H20"/>
    <mergeCell ref="L20:R20"/>
    <mergeCell ref="V20:AB20"/>
    <mergeCell ref="AF20:AL20"/>
    <mergeCell ref="AP20:AV20"/>
    <mergeCell ref="BJ18:BP18"/>
    <mergeCell ref="B19:H19"/>
    <mergeCell ref="L19:R19"/>
    <mergeCell ref="V19:AB19"/>
    <mergeCell ref="AF19:AL19"/>
    <mergeCell ref="AP19:AV19"/>
    <mergeCell ref="BJ19:BP19"/>
    <mergeCell ref="B18:H18"/>
    <mergeCell ref="L18:R18"/>
    <mergeCell ref="V18:AB18"/>
    <mergeCell ref="AF18:AL18"/>
    <mergeCell ref="AP18:AV18"/>
    <mergeCell ref="AZ18:BF18"/>
    <mergeCell ref="BJ16:BP16"/>
    <mergeCell ref="B17:H17"/>
    <mergeCell ref="L17:R17"/>
    <mergeCell ref="V17:AB17"/>
    <mergeCell ref="AF17:AL17"/>
    <mergeCell ref="AP17:AV17"/>
    <mergeCell ref="AZ17:BF17"/>
    <mergeCell ref="BJ17:BP17"/>
    <mergeCell ref="B16:H16"/>
    <mergeCell ref="L16:R16"/>
    <mergeCell ref="V16:AB16"/>
    <mergeCell ref="AF16:AL16"/>
    <mergeCell ref="AP16:AV16"/>
    <mergeCell ref="AZ16:BF16"/>
    <mergeCell ref="BJ14:BP14"/>
    <mergeCell ref="B15:H15"/>
    <mergeCell ref="L15:R15"/>
    <mergeCell ref="V15:AB15"/>
    <mergeCell ref="AF15:AL15"/>
    <mergeCell ref="AP15:AV15"/>
    <mergeCell ref="AZ15:BF15"/>
    <mergeCell ref="BJ15:BP15"/>
    <mergeCell ref="B14:H14"/>
    <mergeCell ref="L14:R14"/>
    <mergeCell ref="V14:AB14"/>
    <mergeCell ref="AF14:AL14"/>
    <mergeCell ref="AP14:AV14"/>
    <mergeCell ref="AZ14:BF14"/>
    <mergeCell ref="BJ12:BP12"/>
    <mergeCell ref="B13:H13"/>
    <mergeCell ref="L13:R13"/>
    <mergeCell ref="V13:AB13"/>
    <mergeCell ref="AF13:AL13"/>
    <mergeCell ref="AP13:AV13"/>
    <mergeCell ref="AZ13:BF13"/>
    <mergeCell ref="BJ13:BP13"/>
    <mergeCell ref="B12:H12"/>
    <mergeCell ref="L12:R12"/>
    <mergeCell ref="V12:AB12"/>
    <mergeCell ref="AF12:AL12"/>
    <mergeCell ref="AP12:AV12"/>
    <mergeCell ref="AZ12:BF12"/>
    <mergeCell ref="AZ10:BF10"/>
    <mergeCell ref="BJ10:BP10"/>
    <mergeCell ref="B11:H11"/>
    <mergeCell ref="L11:R11"/>
    <mergeCell ref="V11:AB11"/>
    <mergeCell ref="AF11:AL11"/>
    <mergeCell ref="AP11:AV11"/>
    <mergeCell ref="AZ11:BF11"/>
    <mergeCell ref="BJ11:BP11"/>
    <mergeCell ref="V9:AB9"/>
    <mergeCell ref="AF9:AL9"/>
    <mergeCell ref="AP9:AV9"/>
    <mergeCell ref="AZ9:BF9"/>
    <mergeCell ref="BJ9:BP9"/>
    <mergeCell ref="B10:H10"/>
    <mergeCell ref="L10:R10"/>
    <mergeCell ref="V10:AB10"/>
    <mergeCell ref="AF10:AL10"/>
    <mergeCell ref="AP10:AV10"/>
    <mergeCell ref="BJ41:BP41"/>
    <mergeCell ref="B42:H42"/>
    <mergeCell ref="L42:R42"/>
    <mergeCell ref="V42:AB42"/>
    <mergeCell ref="AF42:AL42"/>
    <mergeCell ref="AP42:AV42"/>
    <mergeCell ref="AZ42:BF42"/>
    <mergeCell ref="BJ42:BP42"/>
    <mergeCell ref="B41:H41"/>
    <mergeCell ref="L41:R41"/>
    <mergeCell ref="V41:AB41"/>
    <mergeCell ref="AF41:AL41"/>
    <mergeCell ref="AP41:AV41"/>
    <mergeCell ref="AZ41:BF41"/>
    <mergeCell ref="BJ39:BP39"/>
    <mergeCell ref="B40:H40"/>
    <mergeCell ref="L40:R40"/>
    <mergeCell ref="V40:AB40"/>
    <mergeCell ref="AF40:AL40"/>
    <mergeCell ref="AP40:AV40"/>
    <mergeCell ref="AZ40:BF40"/>
    <mergeCell ref="BJ40:BP40"/>
    <mergeCell ref="B39:H39"/>
    <mergeCell ref="L39:R39"/>
    <mergeCell ref="V39:AB39"/>
    <mergeCell ref="AF39:AL39"/>
    <mergeCell ref="AP39:AV39"/>
    <mergeCell ref="BJ37:BP37"/>
    <mergeCell ref="B38:H38"/>
    <mergeCell ref="L38:R38"/>
    <mergeCell ref="V38:AB38"/>
    <mergeCell ref="AF38:AL38"/>
    <mergeCell ref="AP38:AV38"/>
    <mergeCell ref="BJ38:BP38"/>
    <mergeCell ref="B37:H37"/>
    <mergeCell ref="L37:R37"/>
    <mergeCell ref="V37:AB37"/>
    <mergeCell ref="AF37:AL37"/>
    <mergeCell ref="AP37:AV37"/>
    <mergeCell ref="BJ35:BP35"/>
    <mergeCell ref="B36:H36"/>
    <mergeCell ref="L36:R36"/>
    <mergeCell ref="V36:AB36"/>
    <mergeCell ref="AF36:AL36"/>
    <mergeCell ref="AP36:AV36"/>
    <mergeCell ref="AZ36:BF36"/>
    <mergeCell ref="BJ36:BP36"/>
    <mergeCell ref="B35:H35"/>
    <mergeCell ref="L35:R35"/>
    <mergeCell ref="V35:AB35"/>
    <mergeCell ref="AF35:AL35"/>
    <mergeCell ref="AP35:AV35"/>
    <mergeCell ref="AZ35:BF35"/>
    <mergeCell ref="BJ33:BP33"/>
    <mergeCell ref="B34:H34"/>
    <mergeCell ref="L34:R34"/>
    <mergeCell ref="V34:AB34"/>
    <mergeCell ref="AF34:AL34"/>
    <mergeCell ref="AP34:AV34"/>
    <mergeCell ref="AZ34:BF34"/>
    <mergeCell ref="BJ34:BP34"/>
    <mergeCell ref="B33:H33"/>
    <mergeCell ref="L33:R33"/>
    <mergeCell ref="V33:AB33"/>
    <mergeCell ref="AF33:AL33"/>
    <mergeCell ref="AP33:AV33"/>
    <mergeCell ref="AZ33:BF33"/>
    <mergeCell ref="BJ31:BP31"/>
    <mergeCell ref="B32:H32"/>
    <mergeCell ref="L32:R32"/>
    <mergeCell ref="V32:AB32"/>
    <mergeCell ref="AF32:AL32"/>
    <mergeCell ref="AP32:AV32"/>
    <mergeCell ref="AZ32:BF32"/>
    <mergeCell ref="BJ32:BP32"/>
    <mergeCell ref="B31:H31"/>
    <mergeCell ref="L31:R31"/>
    <mergeCell ref="V31:AB31"/>
    <mergeCell ref="AF31:AL31"/>
    <mergeCell ref="AP31:AV31"/>
    <mergeCell ref="AZ31:BF31"/>
    <mergeCell ref="BJ26:BP26"/>
    <mergeCell ref="B27:H27"/>
    <mergeCell ref="L27:R27"/>
    <mergeCell ref="V27:AB27"/>
    <mergeCell ref="AF27:AL27"/>
    <mergeCell ref="AP27:AV27"/>
    <mergeCell ref="AZ27:BF27"/>
    <mergeCell ref="BJ27:BP27"/>
    <mergeCell ref="B26:H26"/>
    <mergeCell ref="L26:R26"/>
    <mergeCell ref="V26:AB26"/>
    <mergeCell ref="AF26:AL26"/>
    <mergeCell ref="AP26:AV26"/>
    <mergeCell ref="AZ26:BF26"/>
    <mergeCell ref="BJ24:BP24"/>
    <mergeCell ref="B25:H25"/>
    <mergeCell ref="L25:R25"/>
    <mergeCell ref="V25:AB25"/>
    <mergeCell ref="AF25:AL25"/>
    <mergeCell ref="AP25:AV25"/>
    <mergeCell ref="AZ25:BF25"/>
    <mergeCell ref="BJ25:BP25"/>
    <mergeCell ref="B24:H24"/>
    <mergeCell ref="L24:R24"/>
    <mergeCell ref="V24:AB24"/>
    <mergeCell ref="AF24:AL24"/>
    <mergeCell ref="AP24:AV24"/>
    <mergeCell ref="BJ8:BP8"/>
    <mergeCell ref="B23:H23"/>
    <mergeCell ref="L23:R23"/>
    <mergeCell ref="V23:AB23"/>
    <mergeCell ref="AF23:AL23"/>
    <mergeCell ref="AP23:AV23"/>
    <mergeCell ref="AZ39:BF39"/>
    <mergeCell ref="BJ23:BP23"/>
    <mergeCell ref="B9:H9"/>
    <mergeCell ref="L9:R9"/>
    <mergeCell ref="B8:H8"/>
    <mergeCell ref="L8:R8"/>
    <mergeCell ref="V8:AB8"/>
    <mergeCell ref="AF8:AL8"/>
    <mergeCell ref="AP8:AV8"/>
    <mergeCell ref="AZ8:BF8"/>
    <mergeCell ref="BJ6:BP6"/>
    <mergeCell ref="B7:H7"/>
    <mergeCell ref="L7:R7"/>
    <mergeCell ref="V7:AB7"/>
    <mergeCell ref="AF7:AL7"/>
    <mergeCell ref="AP7:AV7"/>
    <mergeCell ref="AZ7:BF7"/>
    <mergeCell ref="BJ7:BP7"/>
    <mergeCell ref="B6:H6"/>
    <mergeCell ref="L6:R6"/>
    <mergeCell ref="V6:AB6"/>
    <mergeCell ref="AF6:AL6"/>
    <mergeCell ref="AP6:AV6"/>
    <mergeCell ref="AZ6:BF6"/>
    <mergeCell ref="BJ4:BP4"/>
    <mergeCell ref="B5:H5"/>
    <mergeCell ref="L5:R5"/>
    <mergeCell ref="V5:AB5"/>
    <mergeCell ref="AF5:AL5"/>
    <mergeCell ref="AP5:AV5"/>
    <mergeCell ref="AZ5:BF5"/>
    <mergeCell ref="BJ5:BP5"/>
    <mergeCell ref="B4:H4"/>
    <mergeCell ref="L4:R4"/>
    <mergeCell ref="V4:AB4"/>
    <mergeCell ref="AF4:AL4"/>
    <mergeCell ref="AP4:AV4"/>
    <mergeCell ref="AZ4:BF4"/>
    <mergeCell ref="BJ2:BP2"/>
    <mergeCell ref="B3:H3"/>
    <mergeCell ref="L3:R3"/>
    <mergeCell ref="V3:AB3"/>
    <mergeCell ref="AF3:AL3"/>
    <mergeCell ref="AP3:AV3"/>
    <mergeCell ref="AZ3:BF3"/>
    <mergeCell ref="BJ3:BP3"/>
    <mergeCell ref="B2:H2"/>
    <mergeCell ref="L2:R2"/>
    <mergeCell ref="V2:AB2"/>
    <mergeCell ref="AF2:AL2"/>
    <mergeCell ref="AP2:AV2"/>
    <mergeCell ref="AZ2:BF2"/>
  </mergeCells>
  <conditionalFormatting sqref="AP39:AV39 AZ25 AZ37 AZ39">
    <cfRule type="containsText" dxfId="124" priority="22" operator="containsText" text="_instance">
      <formula>NOT(ISERROR(SEARCH("_instance",AP25)))</formula>
    </cfRule>
    <cfRule type="endsWith" dxfId="123" priority="23" operator="endsWith" text="_instance">
      <formula>RIGHT(AP25,LEN("_instance"))="_instance"</formula>
    </cfRule>
    <cfRule type="endsWith" dxfId="122" priority="24" operator="endsWith" text="_">
      <formula>RIGHT(AP25,LEN("_"))="_"</formula>
    </cfRule>
  </conditionalFormatting>
  <conditionalFormatting sqref="B9:H22">
    <cfRule type="containsText" dxfId="121" priority="1" operator="containsText" text="_instance">
      <formula>NOT(ISERROR(SEARCH("_instance",B9)))</formula>
    </cfRule>
    <cfRule type="endsWith" dxfId="120" priority="2" operator="endsWith" text="_instance">
      <formula>RIGHT(B9,LEN("_instance"))="_instance"</formula>
    </cfRule>
    <cfRule type="endsWith" dxfId="119" priority="3" operator="endsWith" text="_">
      <formula>RIGHT(B9,LEN("_"))="_"</formula>
    </cfRule>
  </conditionalFormatting>
  <conditionalFormatting sqref="S6:T7 BG6:BP7 B37:AE42 I35:K36 S35:U36 AC35:AE36 B31:BF34 AM35:AY37 BG31:BP42 I8:J8 AW24:AY25 AM24:AO25 AC24:AE25 S24:U25 I24:K25 BJ8:BP8 BG24:BI25 AF40:BF42 AF39:AO39 AW39:AY39 AF38:AY38 B6:J7 B26:BH26 B27:BP30 B2:BP5 BJ23:BP25 I23:J23">
    <cfRule type="containsText" dxfId="118" priority="106" operator="containsText" text="_instance">
      <formula>NOT(ISERROR(SEARCH("_instance",B2)))</formula>
    </cfRule>
    <cfRule type="endsWith" dxfId="117" priority="107" operator="endsWith" text="_instance">
      <formula>RIGHT(B2,LEN("_instance"))="_instance"</formula>
    </cfRule>
    <cfRule type="endsWith" dxfId="116" priority="108" operator="endsWith" text="_">
      <formula>RIGHT(B2,LEN("_"))="_"</formula>
    </cfRule>
  </conditionalFormatting>
  <conditionalFormatting sqref="K6:K7">
    <cfRule type="containsText" dxfId="115" priority="103" operator="containsText" text="_instance">
      <formula>NOT(ISERROR(SEARCH("_instance",K6)))</formula>
    </cfRule>
    <cfRule type="endsWith" dxfId="114" priority="104" operator="endsWith" text="_instance">
      <formula>RIGHT(K6,LEN("_instance"))="_instance"</formula>
    </cfRule>
    <cfRule type="endsWith" dxfId="113" priority="105" operator="endsWith" text="_">
      <formula>RIGHT(K6,LEN("_"))="_"</formula>
    </cfRule>
  </conditionalFormatting>
  <conditionalFormatting sqref="AZ6:BF7">
    <cfRule type="containsText" dxfId="112" priority="76" operator="containsText" text="_instance">
      <formula>NOT(ISERROR(SEARCH("_instance",AZ6)))</formula>
    </cfRule>
    <cfRule type="endsWith" dxfId="111" priority="77" operator="endsWith" text="_instance">
      <formula>RIGHT(AZ6,LEN("_instance"))="_instance"</formula>
    </cfRule>
    <cfRule type="endsWith" dxfId="110" priority="78" operator="endsWith" text="_">
      <formula>RIGHT(AZ6,LEN("_"))="_"</formula>
    </cfRule>
  </conditionalFormatting>
  <conditionalFormatting sqref="U6:U7">
    <cfRule type="containsText" dxfId="109" priority="100" operator="containsText" text="_instance">
      <formula>NOT(ISERROR(SEARCH("_instance",U6)))</formula>
    </cfRule>
    <cfRule type="endsWith" dxfId="108" priority="101" operator="endsWith" text="_instance">
      <formula>RIGHT(U6,LEN("_instance"))="_instance"</formula>
    </cfRule>
    <cfRule type="endsWith" dxfId="107" priority="102" operator="endsWith" text="_">
      <formula>RIGHT(U6,LEN("_"))="_"</formula>
    </cfRule>
  </conditionalFormatting>
  <conditionalFormatting sqref="AE6:AE7">
    <cfRule type="containsText" dxfId="106" priority="97" operator="containsText" text="_instance">
      <formula>NOT(ISERROR(SEARCH("_instance",AE6)))</formula>
    </cfRule>
    <cfRule type="endsWith" dxfId="105" priority="98" operator="endsWith" text="_instance">
      <formula>RIGHT(AE6,LEN("_instance"))="_instance"</formula>
    </cfRule>
    <cfRule type="endsWith" dxfId="104" priority="99" operator="endsWith" text="_">
      <formula>RIGHT(AE6,LEN("_"))="_"</formula>
    </cfRule>
  </conditionalFormatting>
  <conditionalFormatting sqref="AO6:AO7">
    <cfRule type="containsText" dxfId="103" priority="94" operator="containsText" text="_instance">
      <formula>NOT(ISERROR(SEARCH("_instance",AO6)))</formula>
    </cfRule>
    <cfRule type="endsWith" dxfId="102" priority="95" operator="endsWith" text="_instance">
      <formula>RIGHT(AO6,LEN("_instance"))="_instance"</formula>
    </cfRule>
    <cfRule type="endsWith" dxfId="101" priority="96" operator="endsWith" text="_">
      <formula>RIGHT(AO6,LEN("_"))="_"</formula>
    </cfRule>
  </conditionalFormatting>
  <conditionalFormatting sqref="AY6:AY7">
    <cfRule type="containsText" dxfId="100" priority="91" operator="containsText" text="_instance">
      <formula>NOT(ISERROR(SEARCH("_instance",AY6)))</formula>
    </cfRule>
    <cfRule type="endsWith" dxfId="99" priority="92" operator="endsWith" text="_instance">
      <formula>RIGHT(AY6,LEN("_instance"))="_instance"</formula>
    </cfRule>
    <cfRule type="endsWith" dxfId="98" priority="93" operator="endsWith" text="_">
      <formula>RIGHT(AY6,LEN("_"))="_"</formula>
    </cfRule>
  </conditionalFormatting>
  <conditionalFormatting sqref="L6:R7">
    <cfRule type="containsText" dxfId="97" priority="88" operator="containsText" text="_instance">
      <formula>NOT(ISERROR(SEARCH("_instance",L6)))</formula>
    </cfRule>
    <cfRule type="endsWith" dxfId="96" priority="89" operator="endsWith" text="_instance">
      <formula>RIGHT(L6,LEN("_instance"))="_instance"</formula>
    </cfRule>
    <cfRule type="endsWith" dxfId="95" priority="90" operator="endsWith" text="_">
      <formula>RIGHT(L6,LEN("_"))="_"</formula>
    </cfRule>
  </conditionalFormatting>
  <conditionalFormatting sqref="V6:AB7">
    <cfRule type="containsText" dxfId="94" priority="85" operator="containsText" text="_instance">
      <formula>NOT(ISERROR(SEARCH("_instance",V6)))</formula>
    </cfRule>
    <cfRule type="endsWith" dxfId="93" priority="86" operator="endsWith" text="_instance">
      <formula>RIGHT(V6,LEN("_instance"))="_instance"</formula>
    </cfRule>
    <cfRule type="endsWith" dxfId="92" priority="87" operator="endsWith" text="_">
      <formula>RIGHT(V6,LEN("_"))="_"</formula>
    </cfRule>
  </conditionalFormatting>
  <conditionalFormatting sqref="AF6:AL7">
    <cfRule type="containsText" dxfId="91" priority="82" operator="containsText" text="_instance">
      <formula>NOT(ISERROR(SEARCH("_instance",AF6)))</formula>
    </cfRule>
    <cfRule type="endsWith" dxfId="90" priority="83" operator="endsWith" text="_instance">
      <formula>RIGHT(AF6,LEN("_instance"))="_instance"</formula>
    </cfRule>
    <cfRule type="endsWith" dxfId="89" priority="84" operator="endsWith" text="_">
      <formula>RIGHT(AF6,LEN("_"))="_"</formula>
    </cfRule>
  </conditionalFormatting>
  <conditionalFormatting sqref="AP6:AV7">
    <cfRule type="containsText" dxfId="88" priority="79" operator="containsText" text="_instance">
      <formula>NOT(ISERROR(SEARCH("_instance",AP6)))</formula>
    </cfRule>
    <cfRule type="endsWith" dxfId="87" priority="80" operator="endsWith" text="_instance">
      <formula>RIGHT(AP6,LEN("_instance"))="_instance"</formula>
    </cfRule>
    <cfRule type="endsWith" dxfId="86" priority="81" operator="endsWith" text="_">
      <formula>RIGHT(AP6,LEN("_"))="_"</formula>
    </cfRule>
  </conditionalFormatting>
  <conditionalFormatting sqref="V36:AB36">
    <cfRule type="containsText" dxfId="85" priority="70" operator="containsText" text="_instance">
      <formula>NOT(ISERROR(SEARCH("_instance",V36)))</formula>
    </cfRule>
    <cfRule type="endsWith" dxfId="84" priority="71" operator="endsWith" text="_instance">
      <formula>RIGHT(V36,LEN("_instance"))="_instance"</formula>
    </cfRule>
    <cfRule type="endsWith" dxfId="83" priority="72" operator="endsWith" text="_">
      <formula>RIGHT(V36,LEN("_"))="_"</formula>
    </cfRule>
  </conditionalFormatting>
  <conditionalFormatting sqref="L36:R36">
    <cfRule type="containsText" dxfId="82" priority="67" operator="containsText" text="_instance">
      <formula>NOT(ISERROR(SEARCH("_instance",L36)))</formula>
    </cfRule>
    <cfRule type="endsWith" dxfId="81" priority="68" operator="endsWith" text="_instance">
      <formula>RIGHT(L36,LEN("_instance"))="_instance"</formula>
    </cfRule>
    <cfRule type="endsWith" dxfId="80" priority="69" operator="endsWith" text="_">
      <formula>RIGHT(L36,LEN("_"))="_"</formula>
    </cfRule>
  </conditionalFormatting>
  <conditionalFormatting sqref="B36:H36">
    <cfRule type="containsText" dxfId="79" priority="64" operator="containsText" text="_instance">
      <formula>NOT(ISERROR(SEARCH("_instance",B36)))</formula>
    </cfRule>
    <cfRule type="endsWith" dxfId="78" priority="65" operator="endsWith" text="_instance">
      <formula>RIGHT(B36,LEN("_instance"))="_instance"</formula>
    </cfRule>
    <cfRule type="endsWith" dxfId="77" priority="66" operator="endsWith" text="_">
      <formula>RIGHT(B36,LEN("_"))="_"</formula>
    </cfRule>
  </conditionalFormatting>
  <conditionalFormatting sqref="B35:H35">
    <cfRule type="containsText" dxfId="76" priority="61" operator="containsText" text="_instance">
      <formula>NOT(ISERROR(SEARCH("_instance",B35)))</formula>
    </cfRule>
    <cfRule type="endsWith" dxfId="75" priority="62" operator="endsWith" text="_instance">
      <formula>RIGHT(B35,LEN("_instance"))="_instance"</formula>
    </cfRule>
    <cfRule type="endsWith" dxfId="74" priority="63" operator="endsWith" text="_">
      <formula>RIGHT(B35,LEN("_"))="_"</formula>
    </cfRule>
  </conditionalFormatting>
  <conditionalFormatting sqref="AZ35:BF36">
    <cfRule type="containsText" dxfId="73" priority="58" operator="containsText" text="_instance">
      <formula>NOT(ISERROR(SEARCH("_instance",AZ35)))</formula>
    </cfRule>
    <cfRule type="endsWith" dxfId="72" priority="59" operator="endsWith" text="_instance">
      <formula>RIGHT(AZ35,LEN("_instance"))="_instance"</formula>
    </cfRule>
    <cfRule type="endsWith" dxfId="71" priority="60" operator="endsWith" text="_">
      <formula>RIGHT(AZ35,LEN("_"))="_"</formula>
    </cfRule>
  </conditionalFormatting>
  <conditionalFormatting sqref="AF35:AL37">
    <cfRule type="containsText" dxfId="70" priority="55" operator="containsText" text="_instance">
      <formula>NOT(ISERROR(SEARCH("_instance",AF35)))</formula>
    </cfRule>
    <cfRule type="endsWith" dxfId="69" priority="56" operator="endsWith" text="_instance">
      <formula>RIGHT(AF35,LEN("_instance"))="_instance"</formula>
    </cfRule>
    <cfRule type="endsWith" dxfId="68" priority="57" operator="endsWith" text="_">
      <formula>RIGHT(AF35,LEN("_"))="_"</formula>
    </cfRule>
  </conditionalFormatting>
  <conditionalFormatting sqref="V35:AB35">
    <cfRule type="containsText" dxfId="67" priority="52" operator="containsText" text="_instance">
      <formula>NOT(ISERROR(SEARCH("_instance",V35)))</formula>
    </cfRule>
    <cfRule type="endsWith" dxfId="66" priority="53" operator="endsWith" text="_instance">
      <formula>RIGHT(V35,LEN("_instance"))="_instance"</formula>
    </cfRule>
    <cfRule type="endsWith" dxfId="65" priority="54" operator="endsWith" text="_">
      <formula>RIGHT(V35,LEN("_"))="_"</formula>
    </cfRule>
  </conditionalFormatting>
  <conditionalFormatting sqref="L35:R35">
    <cfRule type="containsText" dxfId="64" priority="49" operator="containsText" text="_instance">
      <formula>NOT(ISERROR(SEARCH("_instance",L35)))</formula>
    </cfRule>
    <cfRule type="endsWith" dxfId="63" priority="50" operator="endsWith" text="_instance">
      <formula>RIGHT(L35,LEN("_instance"))="_instance"</formula>
    </cfRule>
    <cfRule type="endsWith" dxfId="62" priority="51" operator="endsWith" text="_">
      <formula>RIGHT(L35,LEN("_"))="_"</formula>
    </cfRule>
  </conditionalFormatting>
  <conditionalFormatting sqref="L23:R25">
    <cfRule type="containsText" dxfId="61" priority="31" operator="containsText" text="_instance">
      <formula>NOT(ISERROR(SEARCH("_instance",L23)))</formula>
    </cfRule>
    <cfRule type="endsWith" dxfId="60" priority="32" operator="endsWith" text="_instance">
      <formula>RIGHT(L23,LEN("_instance"))="_instance"</formula>
    </cfRule>
    <cfRule type="endsWith" dxfId="59" priority="33" operator="endsWith" text="_">
      <formula>RIGHT(L23,LEN("_"))="_"</formula>
    </cfRule>
  </conditionalFormatting>
  <conditionalFormatting sqref="B8:H8 B23:H25">
    <cfRule type="containsText" dxfId="58" priority="28" operator="containsText" text="_instance">
      <formula>NOT(ISERROR(SEARCH("_instance",B8)))</formula>
    </cfRule>
    <cfRule type="endsWith" dxfId="57" priority="29" operator="endsWith" text="_instance">
      <formula>RIGHT(B8,LEN("_instance"))="_instance"</formula>
    </cfRule>
    <cfRule type="endsWith" dxfId="56" priority="30" operator="endsWith" text="_">
      <formula>RIGHT(B8,LEN("_"))="_"</formula>
    </cfRule>
  </conditionalFormatting>
  <conditionalFormatting sqref="AZ8:BF8">
    <cfRule type="containsText" dxfId="55" priority="46" operator="containsText" text="_instance">
      <formula>NOT(ISERROR(SEARCH("_instance",AZ8)))</formula>
    </cfRule>
    <cfRule type="endsWith" dxfId="54" priority="47" operator="endsWith" text="_instance">
      <formula>RIGHT(AZ8,LEN("_instance"))="_instance"</formula>
    </cfRule>
    <cfRule type="endsWith" dxfId="53" priority="48" operator="endsWith" text="_">
      <formula>RIGHT(AZ8,LEN("_"))="_"</formula>
    </cfRule>
  </conditionalFormatting>
  <conditionalFormatting sqref="AP8:AV8 AP23:AV25">
    <cfRule type="containsText" dxfId="52" priority="43" operator="containsText" text="_instance">
      <formula>NOT(ISERROR(SEARCH("_instance",AP8)))</formula>
    </cfRule>
    <cfRule type="endsWith" dxfId="51" priority="44" operator="endsWith" text="_instance">
      <formula>RIGHT(AP8,LEN("_instance"))="_instance"</formula>
    </cfRule>
    <cfRule type="endsWith" dxfId="50" priority="45" operator="endsWith" text="_">
      <formula>RIGHT(AP8,LEN("_"))="_"</formula>
    </cfRule>
  </conditionalFormatting>
  <conditionalFormatting sqref="AF8:AL8 AF23:AL25">
    <cfRule type="containsText" dxfId="49" priority="40" operator="containsText" text="_instance">
      <formula>NOT(ISERROR(SEARCH("_instance",AF8)))</formula>
    </cfRule>
    <cfRule type="endsWith" dxfId="48" priority="41" operator="endsWith" text="_instance">
      <formula>RIGHT(AF8,LEN("_instance"))="_instance"</formula>
    </cfRule>
    <cfRule type="endsWith" dxfId="47" priority="42" operator="endsWith" text="_">
      <formula>RIGHT(AF8,LEN("_"))="_"</formula>
    </cfRule>
  </conditionalFormatting>
  <conditionalFormatting sqref="V8:AB8 V23:AB25">
    <cfRule type="containsText" dxfId="46" priority="37" operator="containsText" text="_instance">
      <formula>NOT(ISERROR(SEARCH("_instance",V8)))</formula>
    </cfRule>
    <cfRule type="endsWith" dxfId="45" priority="38" operator="endsWith" text="_instance">
      <formula>RIGHT(V8,LEN("_instance"))="_instance"</formula>
    </cfRule>
    <cfRule type="endsWith" dxfId="44" priority="39" operator="endsWith" text="_">
      <formula>RIGHT(V8,LEN("_"))="_"</formula>
    </cfRule>
  </conditionalFormatting>
  <conditionalFormatting sqref="L8:R8">
    <cfRule type="containsText" dxfId="43" priority="34" operator="containsText" text="_instance">
      <formula>NOT(ISERROR(SEARCH("_instance",L8)))</formula>
    </cfRule>
    <cfRule type="endsWith" dxfId="42" priority="35" operator="endsWith" text="_instance">
      <formula>RIGHT(L8,LEN("_instance"))="_instance"</formula>
    </cfRule>
    <cfRule type="endsWith" dxfId="41" priority="36" operator="endsWith" text="_">
      <formula>RIGHT(L8,LEN("_"))="_"</formula>
    </cfRule>
  </conditionalFormatting>
  <conditionalFormatting sqref="BJ26:BP26">
    <cfRule type="containsText" dxfId="40" priority="25" operator="containsText" text="_instance">
      <formula>NOT(ISERROR(SEARCH("_instance",BJ26)))</formula>
    </cfRule>
    <cfRule type="endsWith" dxfId="39" priority="26" operator="endsWith" text="_instance">
      <formula>RIGHT(BJ26,LEN("_instance"))="_instance"</formula>
    </cfRule>
    <cfRule type="endsWith" dxfId="38" priority="27" operator="endsWith" text="_">
      <formula>RIGHT(BJ26,LEN("_"))="_"</formula>
    </cfRule>
  </conditionalFormatting>
  <conditionalFormatting sqref="AW10:AY10 AW12:AY12 AW14:AY14 AW16:AY16 AW18:AY18 AW20:AY20 AW22:AY22 AM10:AO10 AM12:AO12 AM14:AO14 AM16:AO16 AM18:AO18 AM20:AO20 AM22:AO22 AC10:AE10 AC12:AE12 AC14:AE14 AC16:AE16 AC18:AE18 AC20:AE20 AC22:AE22 S10:U10 S12:U12 S14:U14 S16:U16 S18:U18 S20:U20 S22:U22 I10:K10 I12:K12 I14:K14 I16:K16 I18:K18 I20:K20 I22:K22 BG10:BI10 BG12:BI12 BG14:BI14 BG16:BI16 BG18:BI18 BG20:BI20 BG22:BI22 BJ9:BP22 I9:J9 I11:J11 I13:J13 I15:J15 I17:J17 I19:J19 I21:J21">
    <cfRule type="containsText" dxfId="37" priority="19" operator="containsText" text="_instance">
      <formula>NOT(ISERROR(SEARCH("_instance",I9)))</formula>
    </cfRule>
    <cfRule type="endsWith" dxfId="36" priority="20" operator="endsWith" text="_instance">
      <formula>RIGHT(I9,LEN("_instance"))="_instance"</formula>
    </cfRule>
    <cfRule type="endsWith" dxfId="35" priority="21" operator="endsWith" text="_">
      <formula>RIGHT(I9,LEN("_"))="_"</formula>
    </cfRule>
  </conditionalFormatting>
  <conditionalFormatting sqref="L9:R22">
    <cfRule type="containsText" dxfId="34" priority="4" operator="containsText" text="_instance">
      <formula>NOT(ISERROR(SEARCH("_instance",L9)))</formula>
    </cfRule>
    <cfRule type="endsWith" dxfId="33" priority="5" operator="endsWith" text="_instance">
      <formula>RIGHT(L9,LEN("_instance"))="_instance"</formula>
    </cfRule>
    <cfRule type="endsWith" dxfId="32" priority="6" operator="endsWith" text="_">
      <formula>RIGHT(L9,LEN("_"))="_"</formula>
    </cfRule>
  </conditionalFormatting>
  <conditionalFormatting sqref="AZ9:BF18">
    <cfRule type="containsText" dxfId="31" priority="16" operator="containsText" text="_instance">
      <formula>NOT(ISERROR(SEARCH("_instance",AZ9)))</formula>
    </cfRule>
    <cfRule type="endsWith" dxfId="30" priority="17" operator="endsWith" text="_instance">
      <formula>RIGHT(AZ9,LEN("_instance"))="_instance"</formula>
    </cfRule>
    <cfRule type="endsWith" dxfId="29" priority="18" operator="endsWith" text="_">
      <formula>RIGHT(AZ9,LEN("_"))="_"</formula>
    </cfRule>
  </conditionalFormatting>
  <conditionalFormatting sqref="AP9:AV22">
    <cfRule type="containsText" dxfId="28" priority="13" operator="containsText" text="_instance">
      <formula>NOT(ISERROR(SEARCH("_instance",AP9)))</formula>
    </cfRule>
    <cfRule type="endsWith" dxfId="27" priority="14" operator="endsWith" text="_instance">
      <formula>RIGHT(AP9,LEN("_instance"))="_instance"</formula>
    </cfRule>
    <cfRule type="endsWith" dxfId="26" priority="15" operator="endsWith" text="_">
      <formula>RIGHT(AP9,LEN("_"))="_"</formula>
    </cfRule>
  </conditionalFormatting>
  <conditionalFormatting sqref="AF9:AL22">
    <cfRule type="containsText" dxfId="25" priority="10" operator="containsText" text="_instance">
      <formula>NOT(ISERROR(SEARCH("_instance",AF9)))</formula>
    </cfRule>
    <cfRule type="endsWith" dxfId="24" priority="11" operator="endsWith" text="_instance">
      <formula>RIGHT(AF9,LEN("_instance"))="_instance"</formula>
    </cfRule>
    <cfRule type="endsWith" dxfId="23" priority="12" operator="endsWith" text="_">
      <formula>RIGHT(AF9,LEN("_"))="_"</formula>
    </cfRule>
  </conditionalFormatting>
  <conditionalFormatting sqref="V9:AB22">
    <cfRule type="containsText" dxfId="22" priority="7" operator="containsText" text="_instance">
      <formula>NOT(ISERROR(SEARCH("_instance",V9)))</formula>
    </cfRule>
    <cfRule type="endsWith" dxfId="21" priority="8" operator="endsWith" text="_instance">
      <formula>RIGHT(V9,LEN("_instance"))="_instance"</formula>
    </cfRule>
    <cfRule type="endsWith" dxfId="20" priority="9" operator="endsWith" text="_">
      <formula>RIGHT(V9,LEN("_"))="_"</formula>
    </cfRule>
  </conditionalFormatting>
  <hyperlinks>
    <hyperlink ref="AF31" location="WorkListRecord!A1" display="WorkListRecord!A1" xr:uid="{BFEB6D0D-373F-4F06-92A5-DB97E42D36C0}"/>
    <hyperlink ref="AF2" location="WorkList!A1" display="WorkList!A1" xr:uid="{FBCCC8F1-1C58-4147-B890-7EBBC5C2B8C4}"/>
    <hyperlink ref="B31" location="CableListRecord!A1" display="CableListRecord!A1" xr:uid="{FE6C7B0D-BC82-4CA4-88E6-1F506F617A57}"/>
    <hyperlink ref="B2" location="CableList!A1" display="CableList!A1" xr:uid="{3A172EDC-E97D-4A4C-A4FA-852C3F6F3C67}"/>
    <hyperlink ref="L31" location="Material!A1" display="Material!A1" xr:uid="{BD042F18-C6F2-443E-9419-0B22A0164D98}"/>
    <hyperlink ref="L2" location="MatList!A1" display="MatList!A1" xr:uid="{46CF8C8C-BFEE-4836-9689-E7AF04C825D9}"/>
    <hyperlink ref="V31" location="EquipListRecord!A1" display="EquipListRecord!A1" xr:uid="{AEE04F69-497D-4D18-865C-98BB5AB4887F}"/>
    <hyperlink ref="V2" location="EquipList!A1" display="EquipList!A1" xr:uid="{504C2852-CA85-4C7F-8F6B-B57D1668D118}"/>
    <hyperlink ref="AZ31" location="SpecRecord!A1" display="SpecRecord!A1" xr:uid="{5D52BCF0-2992-4E36-8103-3A9EB67A53F8}"/>
    <hyperlink ref="AZ2" location="Spec!A1" display="Spec!A1" xr:uid="{30D489BA-793D-42C5-BF9E-55274408E698}"/>
    <hyperlink ref="AP31" location="DocListRecord!A1" display="DocListRecord!A1" xr:uid="{925B88DD-B4FA-4B00-BE0B-7E9A9251FB96}"/>
    <hyperlink ref="AP2" location="DocList!A1" display="DocList!A1" xr:uid="{22B45658-8EAE-4236-8269-5F125DA84C29}"/>
    <hyperlink ref="L31:R31" location="MatListRecord!A1" display="MatListRecord" xr:uid="{21199DDE-1425-4BE8-83D5-1970BFF4D10E}"/>
    <hyperlink ref="BJ2" location="Spec!A1" display="Spec!A1" xr:uid="{9FE4CA5D-C733-422C-915E-DB56E1CE6D61}"/>
    <hyperlink ref="BJ31" location="Spec!A1" display="Spec!A1" xr:uid="{AD592C50-1C7E-487F-BCA8-7DA7E6C0A9EE}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26</vt:i4>
      </vt:variant>
    </vt:vector>
  </HeadingPairs>
  <TitlesOfParts>
    <vt:vector size="26" baseType="lpstr">
      <vt:lpstr>Object</vt:lpstr>
      <vt:lpstr>Project</vt:lpstr>
      <vt:lpstr>DocList</vt:lpstr>
      <vt:lpstr>DocListRecord</vt:lpstr>
      <vt:lpstr>DocType</vt:lpstr>
      <vt:lpstr>DocTypeType</vt:lpstr>
      <vt:lpstr>Spec</vt:lpstr>
      <vt:lpstr>SpecRecord</vt:lpstr>
      <vt:lpstr>UnitType</vt:lpstr>
      <vt:lpstr>EquipList</vt:lpstr>
      <vt:lpstr>EquipListRecord</vt:lpstr>
      <vt:lpstr>Equipment</vt:lpstr>
      <vt:lpstr>Category</vt:lpstr>
      <vt:lpstr>MatList</vt:lpstr>
      <vt:lpstr>MatListRecord</vt:lpstr>
      <vt:lpstr>Material</vt:lpstr>
      <vt:lpstr>CableList</vt:lpstr>
      <vt:lpstr>CableListRecord</vt:lpstr>
      <vt:lpstr>Cable</vt:lpstr>
      <vt:lpstr>WorkList</vt:lpstr>
      <vt:lpstr>WorkListRecord</vt:lpstr>
      <vt:lpstr>Work</vt:lpstr>
      <vt:lpstr>_Список</vt:lpstr>
      <vt:lpstr>Список</vt:lpstr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123</dc:creator>
  <cp:lastModifiedBy>123</cp:lastModifiedBy>
  <dcterms:created xsi:type="dcterms:W3CDTF">2023-04-15T10:37:11Z</dcterms:created>
  <dcterms:modified xsi:type="dcterms:W3CDTF">2023-04-16T19:38:31Z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AA80D3A5_F1BB_477F_BE37_CCE64EC5DDC2">
    <vt:lpwstr>0</vt:lpwstr>
  </property>
</Properties>
</file>